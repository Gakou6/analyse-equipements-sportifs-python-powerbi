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co\Desktop\Semestre 2 2026\SAE\sae py\DOCUMENTS\"/>
    </mc:Choice>
  </mc:AlternateContent>
  <xr:revisionPtr revIDLastSave="0" documentId="13_ncr:1_{2870F24D-F729-4BCF-B666-01DE29DADFCA}" xr6:coauthVersionLast="47" xr6:coauthVersionMax="47" xr10:uidLastSave="{00000000-0000-0000-0000-000000000000}"/>
  <bookViews>
    <workbookView xWindow="2340" yWindow="2340" windowWidth="21600" windowHeight="11835" tabRatio="500" firstSheet="1" activeTab="6" xr2:uid="{00000000-000D-0000-FFFF-FFFF00000000}"/>
  </bookViews>
  <sheets>
    <sheet name="Installations" sheetId="1" r:id="rId1"/>
    <sheet name="Equipement" sheetId="2" r:id="rId2"/>
    <sheet name="Activités" sheetId="3" r:id="rId3"/>
    <sheet name=" RSE" sheetId="4" r:id="rId4"/>
    <sheet name="Chiffres" sheetId="5" r:id="rId5"/>
    <sheet name="Schémas" sheetId="6" r:id="rId6"/>
    <sheet name="Anomali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5" l="1"/>
  <c r="B18" i="5"/>
  <c r="F10" i="5"/>
  <c r="E10" i="5"/>
  <c r="C10" i="5"/>
  <c r="B10" i="5"/>
  <c r="E58" i="2"/>
  <c r="E44" i="2"/>
  <c r="E40" i="2"/>
  <c r="E39" i="2"/>
  <c r="E34" i="2"/>
  <c r="E17" i="2"/>
  <c r="E16" i="2"/>
</calcChain>
</file>

<file path=xl/sharedStrings.xml><?xml version="1.0" encoding="utf-8"?>
<sst xmlns="http://schemas.openxmlformats.org/spreadsheetml/2006/main" count="540" uniqueCount="278">
  <si>
    <t>Nom des Variables</t>
  </si>
  <si>
    <t>Nom fichier source</t>
  </si>
  <si>
    <t>Type de la variable</t>
  </si>
  <si>
    <t>éventuellement le nombre de modalités</t>
  </si>
  <si>
    <t>Description</t>
  </si>
  <si>
    <t>Commentaire</t>
  </si>
  <si>
    <t>creation_date</t>
  </si>
  <si>
    <t>Installation</t>
  </si>
  <si>
    <t>Date</t>
  </si>
  <si>
    <t>maj_date</t>
  </si>
  <si>
    <t>numero</t>
  </si>
  <si>
    <t>Chaîne de caractères</t>
  </si>
  <si>
    <t>nom</t>
  </si>
  <si>
    <t>STADE SAINT JEAN DU DESERT, École Élémentaire Saint Julien</t>
  </si>
  <si>
    <t>siret</t>
  </si>
  <si>
    <t>Numérique (scientifique)</t>
  </si>
  <si>
    <t>recherche_adresse</t>
  </si>
  <si>
    <t>Chaîne de caractères (vide possible)</t>
  </si>
  <si>
    <t>adresse</t>
  </si>
  <si>
    <t>cp</t>
  </si>
  <si>
    <t>Entier</t>
  </si>
  <si>
    <t>1000, 1090</t>
  </si>
  <si>
    <t>commune</t>
  </si>
  <si>
    <t>Marseille 12e Arrondissement, Argences</t>
  </si>
  <si>
    <t>insee (code_commune)</t>
  </si>
  <si>
    <t>coordonnees</t>
  </si>
  <si>
    <t>Chaîne (latitude, longitude)</t>
  </si>
  <si>
    <t>install_particuliere</t>
  </si>
  <si>
    <t>Booléen / vide</t>
  </si>
  <si>
    <t>uai</t>
  </si>
  <si>
    <t>Chaîne / vide</t>
  </si>
  <si>
    <t>acces_handi</t>
  </si>
  <si>
    <t>1 à 8</t>
  </si>
  <si>
    <t>Handicap moteur, Handicap moteur - sensoriel</t>
  </si>
  <si>
    <t>acces_transp_commun</t>
  </si>
  <si>
    <t>Bus-autre, bus-metro-train</t>
  </si>
  <si>
    <t>observations</t>
  </si>
  <si>
    <t>moderation_maj_date</t>
  </si>
  <si>
    <t>moderation_creation_date</t>
  </si>
  <si>
    <t>hs</t>
  </si>
  <si>
    <t>maj_lien</t>
  </si>
  <si>
    <t>URL</t>
  </si>
  <si>
    <t>install_nb</t>
  </si>
  <si>
    <t>1 à 765 (nb d'installations)</t>
  </si>
  <si>
    <t>installation_id</t>
  </si>
  <si>
    <t>Chaîne</t>
  </si>
  <si>
    <t>epci_code</t>
  </si>
  <si>
    <t>epci_nom</t>
  </si>
  <si>
    <t>dep_code</t>
  </si>
  <si>
    <t>1 à 988 et 2A et 2B</t>
  </si>
  <si>
    <t>dep_nom</t>
  </si>
  <si>
    <t>Ain, Aisne</t>
  </si>
  <si>
    <t>reg_code</t>
  </si>
  <si>
    <t>1 à 94</t>
  </si>
  <si>
    <t>reg_nom</t>
  </si>
  <si>
    <t>Bouche du Rhone, Calvados</t>
  </si>
  <si>
    <t>code_bdv (code_commune)</t>
  </si>
  <si>
    <t>lib_bdv (commune)</t>
  </si>
  <si>
    <t>arr_code</t>
  </si>
  <si>
    <t>arr_name (commune)</t>
  </si>
  <si>
    <t>Marseille, Caen</t>
  </si>
  <si>
    <t>dens_niveau</t>
  </si>
  <si>
    <t>1 à 7</t>
  </si>
  <si>
    <t>densité de niveau de la ville</t>
  </si>
  <si>
    <t>dens_lib</t>
  </si>
  <si>
    <t>petites villes, grands centres urbains</t>
  </si>
  <si>
    <t>dep_code_filled (code_departement)</t>
  </si>
  <si>
    <t>code du departement rempli</t>
  </si>
  <si>
    <t>aca_nom</t>
  </si>
  <si>
    <t xml:space="preserve">Académie de Corse, Amiens </t>
  </si>
  <si>
    <t>nom de l'academie</t>
  </si>
  <si>
    <t>zrr_simp</t>
  </si>
  <si>
    <t>1 à 4</t>
  </si>
  <si>
    <t>NC-Commune non classée, C - Classée en ZRR</t>
  </si>
  <si>
    <t>Zone de Revitalisation Rurale</t>
  </si>
  <si>
    <t>Nb de modalités</t>
  </si>
  <si>
    <t>Description (Exemple)</t>
  </si>
  <si>
    <t>installation_numero</t>
  </si>
  <si>
    <t>equipements</t>
  </si>
  <si>
    <t>I110900003</t>
  </si>
  <si>
    <t>Identifiant technique</t>
  </si>
  <si>
    <t>Identifiant unique</t>
  </si>
  <si>
    <t>creation_dt</t>
  </si>
  <si>
    <t>31/03/2025</t>
  </si>
  <si>
    <t>Date de création</t>
  </si>
  <si>
    <t>Date de mise à jour</t>
  </si>
  <si>
    <t>https://equipements-sportsgouv...</t>
  </si>
  <si>
    <t>Lien vers la fiche</t>
  </si>
  <si>
    <t>E001I110900003</t>
  </si>
  <si>
    <t>Numéro d'équipement</t>
  </si>
  <si>
    <t>Foyer communal de CEPIE</t>
  </si>
  <si>
    <t>Nom de l'installation</t>
  </si>
  <si>
    <t>type</t>
  </si>
  <si>
    <t>Salles polyvalentes</t>
  </si>
  <si>
    <t>Catégorie technique</t>
  </si>
  <si>
    <t>43.10389, 2.24562</t>
  </si>
  <si>
    <t>proprietaire_principal_nom</t>
  </si>
  <si>
    <t>Commune de CEPIE</t>
  </si>
  <si>
    <t>Nom du propriétaire</t>
  </si>
  <si>
    <t>proprietaire_principal_type</t>
  </si>
  <si>
    <t>Commune</t>
  </si>
  <si>
    <t>Type de structure</t>
  </si>
  <si>
    <t>proprietaire_secondaire_type</t>
  </si>
  <si>
    <t>(Vide)</t>
  </si>
  <si>
    <t>gestionnaire_type</t>
  </si>
  <si>
    <t>Type de gestion</t>
  </si>
  <si>
    <t>co_gestionnaire_type</t>
  </si>
  <si>
    <t>gestion_dsp</t>
  </si>
  <si>
    <t>Booléen</t>
  </si>
  <si>
    <t>Délégation Service Public</t>
  </si>
  <si>
    <t>arrete_ouverture</t>
  </si>
  <si>
    <t>Arrêté préfectoral</t>
  </si>
  <si>
    <t>erp_type</t>
  </si>
  <si>
    <t>L</t>
  </si>
  <si>
    <t>Type d'établissement</t>
  </si>
  <si>
    <t>erp_cat</t>
  </si>
  <si>
    <t>Catégorie de sécurité</t>
  </si>
  <si>
    <t>homologation_date</t>
  </si>
  <si>
    <t>homologation_periode</t>
  </si>
  <si>
    <t>mise_en_service_date</t>
  </si>
  <si>
    <t>Année</t>
  </si>
  <si>
    <t>mise_en_service_periode</t>
  </si>
  <si>
    <t>1965-1974</t>
  </si>
  <si>
    <t>Tranche d'années</t>
  </si>
  <si>
    <t>derniers_travaux_date</t>
  </si>
  <si>
    <t>Année travaux</t>
  </si>
  <si>
    <t>derniers_travaux_periode</t>
  </si>
  <si>
    <t>1995-2004</t>
  </si>
  <si>
    <t>derniers_travaux_type</t>
  </si>
  <si>
    <t>Vétusté normale</t>
  </si>
  <si>
    <t>Nature des travaux</t>
  </si>
  <si>
    <t>chauffage_energie</t>
  </si>
  <si>
    <t>Electricité</t>
  </si>
  <si>
    <t>Énergie utilisée</t>
  </si>
  <si>
    <t>nature</t>
  </si>
  <si>
    <t>Intérieur</t>
  </si>
  <si>
    <t>Intérieur/Extérieur</t>
  </si>
  <si>
    <t>aire_nature_sol</t>
  </si>
  <si>
    <t>Carrelage</t>
  </si>
  <si>
    <t>Type de revêtement</t>
  </si>
  <si>
    <t>aire_longueur</t>
  </si>
  <si>
    <t>Flottant</t>
  </si>
  <si>
    <t>En mètres</t>
  </si>
  <si>
    <t>aire_largeur</t>
  </si>
  <si>
    <t>aire_hauteur</t>
  </si>
  <si>
    <t>aire_surface</t>
  </si>
  <si>
    <t>En mettre carrée</t>
  </si>
  <si>
    <t>aire_eclairage</t>
  </si>
  <si>
    <t>Présence lumière</t>
  </si>
  <si>
    <t>aire_couloirs_nb</t>
  </si>
  <si>
    <t>Nb couloirs (athlé)</t>
  </si>
  <si>
    <t>places_tibune_nb</t>
  </si>
  <si>
    <t>Capacité spectateurs</t>
  </si>
  <si>
    <t>vestiaires_sportifs_nb</t>
  </si>
  <si>
    <t>vestiaires_arbitres_nb</t>
  </si>
  <si>
    <t>douches</t>
  </si>
  <si>
    <t>Présence douches</t>
  </si>
  <si>
    <t>sanitaires</t>
  </si>
  <si>
    <t>Présence toilettes</t>
  </si>
  <si>
    <t>autres_locaux</t>
  </si>
  <si>
    <t>Accueil, Aire de jeu</t>
  </si>
  <si>
    <t>Locaux annexes</t>
  </si>
  <si>
    <t>amenagements_confort</t>
  </si>
  <si>
    <t>acces_handi_mobilite</t>
  </si>
  <si>
    <t>Accueil, Cheminements</t>
  </si>
  <si>
    <t>Zones accessibles</t>
  </si>
  <si>
    <t>acces_handi_sensoriel</t>
  </si>
  <si>
    <t>is_pdesi_pdipr</t>
  </si>
  <si>
    <t>true/false</t>
  </si>
  <si>
    <t>bassin_longueur</t>
  </si>
  <si>
    <t>Piscine</t>
  </si>
  <si>
    <t>bassin_largeur</t>
  </si>
  <si>
    <t>bassin_surface</t>
  </si>
  <si>
    <t>bassin_profondeur_min</t>
  </si>
  <si>
    <t>bassin_profondeur_max</t>
  </si>
  <si>
    <t>piste_longueur</t>
  </si>
  <si>
    <t>Athlétisme</t>
  </si>
  <si>
    <t>sae_hauteur</t>
  </si>
  <si>
    <t>Escalade</t>
  </si>
  <si>
    <t>sae_surface</t>
  </si>
  <si>
    <t>sae_couloirs_nb</t>
  </si>
  <si>
    <t>pas_de_tir_type</t>
  </si>
  <si>
    <t>Tir sportif</t>
  </si>
  <si>
    <t>website</t>
  </si>
  <si>
    <t>Site web</t>
  </si>
  <si>
    <t>utilisateurs</t>
  </si>
  <si>
    <t>Clubs sportifs, Scolaires</t>
  </si>
  <si>
    <t>Publics admis</t>
  </si>
  <si>
    <t>acces_libre</t>
  </si>
  <si>
    <t>Accès sans badge</t>
  </si>
  <si>
    <t>ouverture_saisonniere</t>
  </si>
  <si>
    <t>Notes diverses</t>
  </si>
  <si>
    <t>coordonnees_y</t>
  </si>
  <si>
    <t>Latitude</t>
  </si>
  <si>
    <t>coordonnees_x</t>
  </si>
  <si>
    <t>Longitude</t>
  </si>
  <si>
    <t>equip_nb</t>
  </si>
  <si>
    <t>1 à 101</t>
  </si>
  <si>
    <t>Nb équipements liés</t>
  </si>
  <si>
    <t>famille</t>
  </si>
  <si>
    <t>Salle non spécialisée</t>
  </si>
  <si>
    <t>Groupe d'équipements</t>
  </si>
  <si>
    <t>code</t>
  </si>
  <si>
    <t>101 à 3109</t>
  </si>
  <si>
    <t>Code nomenclature</t>
  </si>
  <si>
    <t>rnb_id</t>
  </si>
  <si>
    <t>KG99V5H55Y2V</t>
  </si>
  <si>
    <t>ID Répertoire National</t>
  </si>
  <si>
    <t>Cépie</t>
  </si>
  <si>
    <t>Nom ville</t>
  </si>
  <si>
    <t>aps_name</t>
  </si>
  <si>
    <t>activité</t>
  </si>
  <si>
    <t>chaine de caractères</t>
  </si>
  <si>
    <t>Basket-Ball, Tennis, Foot, Saut</t>
  </si>
  <si>
    <t>aps_discipline</t>
  </si>
  <si>
    <t xml:space="preserve">Athlétisme, Foot </t>
  </si>
  <si>
    <t>aps_code</t>
  </si>
  <si>
    <t>1101, 3701</t>
  </si>
  <si>
    <t>aps_niveau</t>
  </si>
  <si>
    <t>Loisir - Entretien - Remise en forme, Scolaire</t>
  </si>
  <si>
    <t>equip_numero</t>
  </si>
  <si>
    <t>alpha num</t>
  </si>
  <si>
    <t>E002I050610044</t>
  </si>
  <si>
    <t>aps_pratique</t>
  </si>
  <si>
    <t>Activité praticable, Activité pratiquée</t>
  </si>
  <si>
    <t xml:space="preserve">Date </t>
  </si>
  <si>
    <t>2025-04-28T15:12:58+00:00</t>
  </si>
  <si>
    <t>https://equipements-sportsgouv.contribuer.io/tables/8ZrgVT3iwqwmxP-gxEp6Cyg5BHvrOTmpOyhLlHgbpiw/contributions/2711782/new</t>
  </si>
  <si>
    <t>Nom</t>
  </si>
  <si>
    <t>Description de contenu</t>
  </si>
  <si>
    <t>Format</t>
  </si>
  <si>
    <t>Taille</t>
  </si>
  <si>
    <t>date dernière mise à jour</t>
  </si>
  <si>
    <t>Installations</t>
  </si>
  <si>
    <t>les installations sportives en France</t>
  </si>
  <si>
    <t>csv</t>
  </si>
  <si>
    <t>71,8 Mo</t>
  </si>
  <si>
    <t>Equipements</t>
  </si>
  <si>
    <t xml:space="preserve">les équipements sportifs ou aires de pratique </t>
  </si>
  <si>
    <t>1971,1 Mo</t>
  </si>
  <si>
    <t>Activités</t>
  </si>
  <si>
    <t>les activités sportives possibles pour chaque équipement</t>
  </si>
  <si>
    <t>165,9 Mo</t>
  </si>
  <si>
    <t>Nombre D’installations</t>
  </si>
  <si>
    <t xml:space="preserve">Nombre d’équipements </t>
  </si>
  <si>
    <t>Nombre d’activités</t>
  </si>
  <si>
    <t>Population</t>
  </si>
  <si>
    <t>Superficie (km²)</t>
  </si>
  <si>
    <t>Au niveau national</t>
  </si>
  <si>
    <t>install</t>
  </si>
  <si>
    <t>https://equipements.sports.gouv.fr/explore/assets/data-es-installation/view/?page=1</t>
  </si>
  <si>
    <t>France</t>
  </si>
  <si>
    <t>equip</t>
  </si>
  <si>
    <t>https://equipements.sports.gouv.fr/explore/assets/data-es-equipement/view/?page=1&amp;search=Pas+de+Calais+</t>
  </si>
  <si>
    <t>Au niveau régional – Hauts de France</t>
  </si>
  <si>
    <t>act</t>
  </si>
  <si>
    <t>https://equipements.sports.gouv.fr/explore/assets/data-es-activite/view/</t>
  </si>
  <si>
    <t>Nord (59)</t>
  </si>
  <si>
    <t>_</t>
  </si>
  <si>
    <t>Pas de Calais (62)</t>
  </si>
  <si>
    <t>Somme (80)</t>
  </si>
  <si>
    <t>Oise (60)</t>
  </si>
  <si>
    <t>Aisne (02)</t>
  </si>
  <si>
    <t>Totaux Départements</t>
  </si>
  <si>
    <t>Au niveau des 5 communes le plus peuplées dans le Nord</t>
  </si>
  <si>
    <t>Lille</t>
  </si>
  <si>
    <t>Tourcoing</t>
  </si>
  <si>
    <t>Roubaix</t>
  </si>
  <si>
    <t>Dunkerque</t>
  </si>
  <si>
    <t>BI</t>
  </si>
  <si>
    <t xml:space="preserve">bilan du dep du nord </t>
  </si>
  <si>
    <t>Villeneuve D’Ascq</t>
  </si>
  <si>
    <t>Partie 3</t>
  </si>
  <si>
    <t>Lesquin</t>
  </si>
  <si>
    <t>Totaux Communes</t>
  </si>
  <si>
    <t>bdd de données activitée n’a pas mis de colonne commune, ducoup on peut pas savoir dans quelle ville se trouve l’activité</t>
  </si>
  <si>
    <t>donc on doit forcément faire une jointure entre activité et equipment (cf « schema »)</t>
  </si>
  <si>
    <t xml:space="preserve">cellule vide : genre si ya equipements pour pmr ou pas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</si>
</sst>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VRAI&quot;;&quot;VRAI&quot;;&quot;FAUX&quot;"/>
    <numFmt numFmtId="165" formatCode="d\ mmm\ yy"/>
  </numFmts>
  <fonts count="10" x14ac:knownFonts="1">
    <font>
      <sz val="10"/>
      <name val="Arial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0"/>
      <color theme="1"/>
      <name val="Calibri Light"/>
      <family val="2"/>
      <charset val="1"/>
    </font>
    <font>
      <b/>
      <sz val="10"/>
      <color rgb="FF000000"/>
      <name val="Calibri Light"/>
      <family val="2"/>
      <charset val="1"/>
    </font>
    <font>
      <b/>
      <i/>
      <sz val="10"/>
      <color rgb="FF000000"/>
      <name val="Calibri Light"/>
      <family val="2"/>
      <charset val="1"/>
    </font>
    <font>
      <b/>
      <sz val="10"/>
      <color theme="1"/>
      <name val="Calibri"/>
      <family val="2"/>
      <charset val="1"/>
    </font>
    <font>
      <i/>
      <sz val="10"/>
      <color rgb="FF000000"/>
      <name val="Calibri Light"/>
      <family val="2"/>
      <charset val="1"/>
    </font>
    <font>
      <sz val="10"/>
      <color theme="1"/>
      <name val="Calibri"/>
      <family val="2"/>
      <charset val="1"/>
    </font>
    <font>
      <sz val="1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DCE6F2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B4C7DC"/>
        <bgColor rgb="FF99CCFF"/>
      </patternFill>
    </fill>
    <fill>
      <patternFill patternType="solid">
        <fgColor rgb="FFFFFF6D"/>
        <bgColor rgb="FFFFFF00"/>
      </patternFill>
    </fill>
    <fill>
      <patternFill patternType="solid">
        <fgColor theme="5" tint="0.79989013336588644"/>
        <bgColor rgb="FFFDEADA"/>
      </patternFill>
    </fill>
    <fill>
      <patternFill patternType="solid">
        <fgColor theme="2" tint="-9.9978637043366805E-2"/>
        <bgColor rgb="FFF2DCDB"/>
      </patternFill>
    </fill>
    <fill>
      <patternFill patternType="solid">
        <fgColor theme="9" tint="0.79989013336588644"/>
        <bgColor rgb="FFF2F2F2"/>
      </patternFill>
    </fill>
    <fill>
      <patternFill patternType="solid">
        <fgColor theme="0" tint="-4.9989318521683403E-2"/>
        <bgColor rgb="FFFDEADA"/>
      </patternFill>
    </fill>
    <fill>
      <patternFill patternType="solid">
        <fgColor rgb="FFD9E2F3"/>
        <bgColor rgb="FFDCE6F2"/>
      </patternFill>
    </fill>
  </fills>
  <borders count="19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/>
      <right style="medium">
        <color rgb="FF7F7F7F"/>
      </right>
      <top/>
      <bottom/>
      <diagonal/>
    </border>
    <border>
      <left/>
      <right style="hair">
        <color rgb="FFFFFFFF"/>
      </right>
      <top style="hair">
        <color rgb="FFFFFFFF"/>
      </top>
      <bottom style="thin">
        <color rgb="FFFFFFFF"/>
      </bottom>
      <diagonal/>
    </border>
    <border>
      <left/>
      <right style="hair">
        <color rgb="FFFFFFFF"/>
      </right>
      <top/>
      <bottom style="thin">
        <color rgb="FFFFFFFF"/>
      </bottom>
      <diagonal/>
    </border>
    <border>
      <left style="hair">
        <color rgb="FFFFFFFF"/>
      </left>
      <right style="hair">
        <color rgb="FFFFFFFF"/>
      </right>
      <top/>
      <bottom style="thin">
        <color rgb="FFFFFFF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7F7F7F"/>
      </top>
      <bottom/>
      <diagonal/>
    </border>
  </borders>
  <cellStyleXfs count="3">
    <xf numFmtId="0" fontId="0" fillId="0" borderId="0"/>
    <xf numFmtId="0" fontId="9" fillId="0" borderId="0" applyBorder="0" applyProtection="0"/>
    <xf numFmtId="0" fontId="1" fillId="0" borderId="0" applyBorder="0" applyProtection="0"/>
  </cellStyleXfs>
  <cellXfs count="66">
    <xf numFmtId="0" fontId="0" fillId="0" borderId="0" xfId="0"/>
    <xf numFmtId="0" fontId="1" fillId="0" borderId="0" xfId="2" applyBorder="1" applyProtection="1"/>
    <xf numFmtId="0" fontId="1" fillId="4" borderId="1" xfId="2" applyFill="1" applyBorder="1" applyProtection="1"/>
    <xf numFmtId="0" fontId="1" fillId="3" borderId="1" xfId="2" applyFill="1" applyBorder="1" applyProtection="1"/>
    <xf numFmtId="0" fontId="1" fillId="0" borderId="1" xfId="2" applyBorder="1" applyProtection="1"/>
    <xf numFmtId="0" fontId="1" fillId="0" borderId="1" xfId="2" applyBorder="1" applyAlignment="1" applyProtection="1">
      <alignment horizontal="right"/>
    </xf>
    <xf numFmtId="0" fontId="1" fillId="3" borderId="1" xfId="2" applyFill="1" applyBorder="1" applyAlignment="1" applyProtection="1">
      <alignment horizontal="right"/>
    </xf>
    <xf numFmtId="0" fontId="1" fillId="4" borderId="1" xfId="2" applyFill="1" applyBorder="1" applyAlignment="1" applyProtection="1">
      <alignment horizontal="right"/>
    </xf>
    <xf numFmtId="0" fontId="1" fillId="4" borderId="0" xfId="2" applyFill="1" applyBorder="1" applyProtection="1"/>
    <xf numFmtId="0" fontId="1" fillId="0" borderId="2" xfId="2" applyBorder="1" applyProtection="1"/>
    <xf numFmtId="0" fontId="9" fillId="0" borderId="0" xfId="1" applyBorder="1" applyProtection="1"/>
    <xf numFmtId="0" fontId="2" fillId="5" borderId="0" xfId="2" applyFont="1" applyFill="1" applyBorder="1" applyAlignment="1" applyProtection="1">
      <alignment wrapText="1"/>
    </xf>
    <xf numFmtId="0" fontId="2" fillId="0" borderId="0" xfId="2" applyFont="1" applyBorder="1" applyAlignment="1" applyProtection="1">
      <alignment wrapText="1"/>
    </xf>
    <xf numFmtId="0" fontId="1" fillId="0" borderId="0" xfId="2" applyBorder="1" applyAlignment="1" applyProtection="1">
      <alignment wrapText="1"/>
    </xf>
    <xf numFmtId="0" fontId="2" fillId="6" borderId="0" xfId="2" applyFont="1" applyFill="1" applyBorder="1" applyAlignment="1" applyProtection="1">
      <alignment wrapText="1"/>
    </xf>
    <xf numFmtId="0" fontId="1" fillId="6" borderId="0" xfId="2" applyFill="1" applyBorder="1" applyAlignment="1" applyProtection="1">
      <alignment wrapText="1"/>
    </xf>
    <xf numFmtId="164" fontId="1" fillId="0" borderId="0" xfId="2" applyNumberFormat="1" applyBorder="1" applyAlignment="1" applyProtection="1">
      <alignment wrapText="1"/>
    </xf>
    <xf numFmtId="0" fontId="2" fillId="3" borderId="0" xfId="2" applyFont="1" applyFill="1" applyBorder="1" applyAlignment="1" applyProtection="1">
      <alignment wrapText="1"/>
    </xf>
    <xf numFmtId="0" fontId="1" fillId="3" borderId="0" xfId="2" applyFill="1" applyBorder="1" applyAlignment="1" applyProtection="1">
      <alignment wrapText="1"/>
    </xf>
    <xf numFmtId="164" fontId="1" fillId="3" borderId="0" xfId="2" applyNumberFormat="1" applyFill="1" applyBorder="1" applyAlignment="1" applyProtection="1">
      <alignment wrapText="1"/>
    </xf>
    <xf numFmtId="0" fontId="1" fillId="3" borderId="0" xfId="2" applyFill="1" applyBorder="1" applyProtection="1"/>
    <xf numFmtId="0" fontId="1" fillId="0" borderId="0" xfId="2" applyBorder="1" applyAlignment="1" applyProtection="1">
      <alignment horizontal="right"/>
    </xf>
    <xf numFmtId="0" fontId="1" fillId="2" borderId="3" xfId="2" applyFill="1" applyBorder="1" applyProtection="1"/>
    <xf numFmtId="0" fontId="1" fillId="8" borderId="3" xfId="2" applyFill="1" applyBorder="1" applyProtection="1"/>
    <xf numFmtId="0" fontId="1" fillId="9" borderId="3" xfId="2" applyFill="1" applyBorder="1" applyProtection="1"/>
    <xf numFmtId="0" fontId="1" fillId="2" borderId="3" xfId="2" applyFill="1" applyBorder="1" applyAlignment="1" applyProtection="1">
      <alignment wrapText="1"/>
    </xf>
    <xf numFmtId="0" fontId="3" fillId="4" borderId="4" xfId="2" applyFont="1" applyFill="1" applyBorder="1" applyAlignment="1" applyProtection="1">
      <alignment horizontal="right" vertical="center" wrapText="1"/>
    </xf>
    <xf numFmtId="0" fontId="4" fillId="4" borderId="4" xfId="2" applyFont="1" applyFill="1" applyBorder="1" applyAlignment="1" applyProtection="1">
      <alignment vertical="center"/>
    </xf>
    <xf numFmtId="0" fontId="4" fillId="4" borderId="4" xfId="2" applyFont="1" applyFill="1" applyBorder="1" applyAlignment="1" applyProtection="1">
      <alignment vertical="center" wrapText="1"/>
    </xf>
    <xf numFmtId="0" fontId="6" fillId="10" borderId="0" xfId="2" applyFont="1" applyFill="1" applyBorder="1" applyAlignment="1" applyProtection="1">
      <alignment horizontal="center" vertical="center" wrapText="1"/>
    </xf>
    <xf numFmtId="0" fontId="5" fillId="11" borderId="6" xfId="2" applyFont="1" applyFill="1" applyBorder="1" applyAlignment="1" applyProtection="1">
      <alignment horizontal="right" vertical="center" wrapText="1"/>
    </xf>
    <xf numFmtId="0" fontId="6" fillId="11" borderId="0" xfId="2" applyFont="1" applyFill="1" applyBorder="1" applyAlignment="1" applyProtection="1">
      <alignment vertical="center" wrapText="1"/>
    </xf>
    <xf numFmtId="0" fontId="7" fillId="4" borderId="6" xfId="2" applyFont="1" applyFill="1" applyBorder="1" applyAlignment="1" applyProtection="1">
      <alignment horizontal="right" vertical="center" wrapText="1"/>
    </xf>
    <xf numFmtId="0" fontId="8" fillId="0" borderId="0" xfId="2" applyFont="1" applyBorder="1" applyAlignment="1" applyProtection="1">
      <alignment vertical="center" wrapText="1"/>
    </xf>
    <xf numFmtId="0" fontId="1" fillId="0" borderId="0" xfId="2" applyBorder="1" applyAlignment="1" applyProtection="1">
      <alignment horizontal="center" vertical="center" wrapText="1"/>
    </xf>
    <xf numFmtId="0" fontId="8" fillId="10" borderId="0" xfId="2" applyFont="1" applyFill="1" applyBorder="1" applyAlignment="1" applyProtection="1">
      <alignment vertical="center" wrapText="1"/>
    </xf>
    <xf numFmtId="0" fontId="8" fillId="10" borderId="0" xfId="2" applyFont="1" applyFill="1" applyBorder="1" applyAlignment="1" applyProtection="1">
      <alignment horizontal="center" vertical="center" wrapText="1"/>
    </xf>
    <xf numFmtId="0" fontId="1" fillId="10" borderId="0" xfId="2" applyFill="1" applyBorder="1" applyAlignment="1" applyProtection="1">
      <alignment vertical="center" wrapText="1"/>
    </xf>
    <xf numFmtId="0" fontId="1" fillId="10" borderId="0" xfId="2" applyFill="1" applyBorder="1" applyAlignment="1" applyProtection="1">
      <alignment horizontal="center" vertical="center" wrapText="1"/>
    </xf>
    <xf numFmtId="0" fontId="6" fillId="0" borderId="0" xfId="2" applyFont="1" applyBorder="1" applyAlignment="1" applyProtection="1">
      <alignment horizontal="center" vertical="center" wrapText="1"/>
    </xf>
    <xf numFmtId="0" fontId="1" fillId="0" borderId="0" xfId="2" applyBorder="1" applyAlignment="1" applyProtection="1">
      <alignment vertical="center" wrapText="1"/>
    </xf>
    <xf numFmtId="0" fontId="1" fillId="0" borderId="0" xfId="2" applyBorder="1" applyAlignment="1" applyProtection="1">
      <alignment horizontal="center"/>
    </xf>
    <xf numFmtId="0" fontId="8" fillId="0" borderId="0" xfId="2" applyFont="1" applyBorder="1" applyAlignment="1" applyProtection="1">
      <alignment horizontal="center" vertical="center" wrapText="1"/>
    </xf>
    <xf numFmtId="0" fontId="6" fillId="11" borderId="0" xfId="2" applyFont="1" applyFill="1" applyBorder="1" applyAlignment="1" applyProtection="1">
      <alignment horizontal="center" vertical="center" wrapText="1"/>
    </xf>
    <xf numFmtId="0" fontId="2" fillId="11" borderId="0" xfId="2" applyFont="1" applyFill="1" applyBorder="1" applyAlignment="1" applyProtection="1">
      <alignment vertical="center" wrapText="1"/>
    </xf>
    <xf numFmtId="0" fontId="5" fillId="4" borderId="5" xfId="2" applyFont="1" applyFill="1" applyBorder="1" applyAlignment="1" applyProtection="1">
      <alignment horizontal="center" vertical="center" wrapText="1"/>
    </xf>
    <xf numFmtId="0" fontId="5" fillId="4" borderId="6" xfId="2" applyFont="1" applyFill="1" applyBorder="1" applyAlignment="1" applyProtection="1">
      <alignment horizontal="center" vertical="center" wrapText="1"/>
    </xf>
    <xf numFmtId="0" fontId="1" fillId="0" borderId="7" xfId="2" applyBorder="1" applyProtection="1"/>
    <xf numFmtId="0" fontId="1" fillId="3" borderId="7" xfId="2" applyFill="1" applyBorder="1" applyProtection="1"/>
    <xf numFmtId="0" fontId="1" fillId="4" borderId="7" xfId="2" applyFill="1" applyBorder="1" applyProtection="1"/>
    <xf numFmtId="0" fontId="2" fillId="2" borderId="8" xfId="2" applyFont="1" applyFill="1" applyBorder="1" applyAlignment="1" applyProtection="1">
      <alignment horizontal="center"/>
    </xf>
    <xf numFmtId="0" fontId="2" fillId="2" borderId="9" xfId="2" applyFont="1" applyFill="1" applyBorder="1" applyAlignment="1" applyProtection="1">
      <alignment horizontal="center"/>
    </xf>
    <xf numFmtId="0" fontId="1" fillId="7" borderId="10" xfId="2" applyFill="1" applyBorder="1" applyProtection="1"/>
    <xf numFmtId="165" fontId="1" fillId="10" borderId="11" xfId="2" applyNumberFormat="1" applyFill="1" applyBorder="1" applyProtection="1"/>
    <xf numFmtId="0" fontId="1" fillId="7" borderId="12" xfId="2" applyFill="1" applyBorder="1" applyProtection="1"/>
    <xf numFmtId="0" fontId="1" fillId="2" borderId="13" xfId="2" applyFill="1" applyBorder="1" applyProtection="1"/>
    <xf numFmtId="0" fontId="1" fillId="8" borderId="13" xfId="2" applyFill="1" applyBorder="1" applyProtection="1"/>
    <xf numFmtId="0" fontId="1" fillId="9" borderId="13" xfId="2" applyFill="1" applyBorder="1" applyProtection="1"/>
    <xf numFmtId="0" fontId="1" fillId="10" borderId="14" xfId="2" applyFill="1" applyBorder="1" applyProtection="1"/>
    <xf numFmtId="0" fontId="1" fillId="7" borderId="15" xfId="2" applyFill="1" applyBorder="1" applyProtection="1"/>
    <xf numFmtId="0" fontId="1" fillId="2" borderId="16" xfId="2" applyFill="1" applyBorder="1" applyAlignment="1" applyProtection="1">
      <alignment wrapText="1"/>
    </xf>
    <xf numFmtId="0" fontId="1" fillId="8" borderId="16" xfId="2" applyFill="1" applyBorder="1" applyProtection="1"/>
    <xf numFmtId="0" fontId="1" fillId="9" borderId="16" xfId="2" applyFill="1" applyBorder="1" applyProtection="1"/>
    <xf numFmtId="165" fontId="1" fillId="10" borderId="17" xfId="2" applyNumberFormat="1" applyFill="1" applyBorder="1" applyProtection="1"/>
    <xf numFmtId="0" fontId="5" fillId="4" borderId="0" xfId="2" applyFont="1" applyFill="1" applyBorder="1" applyAlignment="1" applyProtection="1">
      <alignment horizontal="center" vertical="center" wrapText="1"/>
    </xf>
    <xf numFmtId="0" fontId="5" fillId="4" borderId="18" xfId="2" applyFont="1" applyFill="1" applyBorder="1" applyAlignment="1" applyProtection="1">
      <alignment horizontal="center" vertical="center" wrapText="1"/>
    </xf>
  </cellXfs>
  <cellStyles count="3">
    <cellStyle name="Default" xfId="1" xr:uid="{00000000-0005-0000-0000-000006000000}"/>
    <cellStyle name="Default 1" xfId="2" xr:uid="{00000000-0005-0000-0000-000007000000}"/>
    <cellStyle name="Normal" xfId="0" builtinId="0"/>
  </cellStyles>
  <dxfs count="33">
    <dxf>
      <numFmt numFmtId="165" formatCode="d\ mmm\ yy"/>
      <fill>
        <patternFill patternType="solid">
          <fgColor rgb="FFFDEADA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0"/>
    </dxf>
    <dxf>
      <fill>
        <patternFill patternType="solid">
          <fgColor rgb="FFF2F2F2"/>
          <bgColor theme="9" tint="0.7998901333658864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ill>
        <patternFill patternType="solid">
          <fgColor rgb="FFF2DCDB"/>
          <bgColor theme="2" tint="-9.9978637043366805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ill>
        <patternFill patternType="solid">
          <fgColor rgb="FFFDEADA"/>
          <bgColor theme="5" tint="0.79989013336588644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rgb="FFD9E2F3"/>
          <bgColor rgb="FFDCE6F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rgb="FFFFFFFF"/>
        </left>
        <right style="hair">
          <color rgb="FFFFFFFF"/>
        </right>
        <top/>
        <bottom/>
      </border>
      <protection locked="1" hidden="0"/>
    </dxf>
    <dxf>
      <protection locked="1" hidden="0"/>
    </dxf>
    <dxf>
      <alignment horizontal="right" vertical="bottom" textRotation="0" wrapText="0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border outline="0">
        <bottom style="thin">
          <color rgb="FFFFFFFF"/>
        </bottom>
      </border>
    </dxf>
    <dxf>
      <border outline="0">
        <top style="hair">
          <color rgb="FFFFFFF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rgb="FF99CCFF"/>
          <bgColor rgb="FFB4C7DC"/>
        </patternFill>
      </fill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rgb="FFD9E2F3"/>
          <bgColor rgb="FFDCE6F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rgb="FFFFFFFF"/>
        </left>
        <right style="hair">
          <color rgb="FFFFFFFF"/>
        </right>
        <top/>
        <bottom/>
      </border>
      <protection locked="1" hidden="0"/>
    </dxf>
    <dxf>
      <fill>
        <patternFill patternType="solid">
          <fgColor rgb="FFF2F2F2"/>
          <bgColor rgb="FFFFFFFF"/>
        </patternFill>
      </fill>
      <protection locked="1" hidden="0"/>
    </dxf>
    <dxf>
      <fill>
        <patternFill patternType="solid">
          <fgColor rgb="FFF2F2F2"/>
          <bgColor rgb="FFFFFFFF"/>
        </patternFill>
      </fill>
      <border diagonalUp="0" diagonalDown="0">
        <left style="hair">
          <color rgb="FFFFFFFF"/>
        </left>
        <right style="hair">
          <color rgb="FFFFFFFF"/>
        </right>
        <top style="hair">
          <color rgb="FFFFFFFF"/>
        </top>
        <bottom style="thin">
          <color rgb="FFFFFFFF"/>
        </bottom>
        <vertical/>
        <horizontal/>
      </border>
      <protection locked="1" hidden="0"/>
    </dxf>
    <dxf>
      <fill>
        <patternFill patternType="solid">
          <fgColor rgb="FFF2F2F2"/>
          <bgColor rgb="FFFFFFFF"/>
        </patternFill>
      </fill>
      <border diagonalUp="0" diagonalDown="0">
        <left style="hair">
          <color rgb="FFFFFFFF"/>
        </left>
        <right style="hair">
          <color rgb="FFFFFFFF"/>
        </right>
        <top style="hair">
          <color rgb="FFFFFFFF"/>
        </top>
        <bottom style="thin">
          <color rgb="FFFFFFFF"/>
        </bottom>
        <vertical/>
        <horizontal/>
      </border>
      <protection locked="1" hidden="0"/>
    </dxf>
    <dxf>
      <fill>
        <patternFill patternType="solid">
          <fgColor rgb="FFF2F2F2"/>
          <bgColor rgb="FFFFFFFF"/>
        </patternFill>
      </fill>
      <border diagonalUp="0" diagonalDown="0">
        <left style="hair">
          <color rgb="FFFFFFFF"/>
        </left>
        <right style="hair">
          <color rgb="FFFFFFFF"/>
        </right>
        <top style="hair">
          <color rgb="FFFFFFFF"/>
        </top>
        <bottom style="thin">
          <color rgb="FFFFFFFF"/>
        </bottom>
        <vertical/>
        <horizontal/>
      </border>
      <protection locked="1" hidden="0"/>
    </dxf>
    <dxf>
      <fill>
        <patternFill patternType="solid">
          <fgColor rgb="FFF2F2F2"/>
          <bgColor rgb="FFFFFFFF"/>
        </patternFill>
      </fill>
      <border diagonalUp="0" diagonalDown="0">
        <left style="hair">
          <color rgb="FFFFFFFF"/>
        </left>
        <right style="hair">
          <color rgb="FFFFFFFF"/>
        </right>
        <top style="hair">
          <color rgb="FFFFFFFF"/>
        </top>
        <bottom style="thin">
          <color rgb="FFFFFFFF"/>
        </bottom>
        <vertical/>
        <horizontal/>
      </border>
      <protection locked="1" hidden="0"/>
    </dxf>
    <dxf>
      <fill>
        <patternFill patternType="solid">
          <fgColor rgb="FFF2F2F2"/>
          <bgColor rgb="FFFFFFFF"/>
        </patternFill>
      </fill>
      <border diagonalUp="0" diagonalDown="0">
        <left/>
        <right style="hair">
          <color rgb="FFFFFFFF"/>
        </right>
        <top style="hair">
          <color rgb="FFFFFFFF"/>
        </top>
        <bottom style="thin">
          <color rgb="FFFFFFFF"/>
        </bottom>
        <vertical/>
        <horizontal/>
      </border>
      <protection locked="1" hidden="0"/>
    </dxf>
    <dxf>
      <border outline="0">
        <bottom style="thin">
          <color rgb="FFFFFFFF"/>
        </bottom>
      </border>
    </dxf>
    <dxf>
      <border outline="0">
        <left style="hair">
          <color rgb="FFFFFFFF"/>
        </left>
        <top style="hair">
          <color rgb="FFFFFFFF"/>
        </top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7F7F7F"/>
      <rgbColor rgb="FF9999FF"/>
      <rgbColor rgb="FF993366"/>
      <rgbColor rgb="FFFDEADA"/>
      <rgbColor rgb="FFDCE6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2DCDB"/>
      <rgbColor rgb="FFFFFF6D"/>
      <rgbColor rgb="FF99CCFF"/>
      <rgbColor rgb="FFFF99CC"/>
      <rgbColor rgb="FFCC99FF"/>
      <rgbColor rgb="FFDDD9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459720</xdr:colOff>
      <xdr:row>1</xdr:row>
      <xdr:rowOff>152640</xdr:rowOff>
    </xdr:from>
    <xdr:to>
      <xdr:col>11</xdr:col>
      <xdr:colOff>347760</xdr:colOff>
      <xdr:row>20</xdr:row>
      <xdr:rowOff>160920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759040" y="343080"/>
          <a:ext cx="6019560" cy="3627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CD6EB0-D4F9-4347-97C3-696E8B4D9179}" name="Tableau1" displayName="Tableau1" ref="A1:F38" totalsRowShown="0" headerRowDxfId="24" dataDxfId="25" headerRowBorderDxfId="31" tableBorderDxfId="32" headerRowCellStyle="Default 1" dataCellStyle="Default 1">
  <autoFilter ref="A1:F38" xr:uid="{AFCD6EB0-D4F9-4347-97C3-696E8B4D9179}"/>
  <tableColumns count="6">
    <tableColumn id="1" xr3:uid="{DCB04076-0C2A-4BB5-90EF-D0ED5A097B1C}" name="Nom des Variables" dataDxfId="30" dataCellStyle="Default 1"/>
    <tableColumn id="2" xr3:uid="{F57904E2-DFC4-4D44-90D4-9D4A715BD280}" name="Nom fichier source" dataDxfId="29" dataCellStyle="Default 1"/>
    <tableColumn id="3" xr3:uid="{FC6414D6-BC9F-4CE3-9CE5-FCB4D06C7998}" name="Type de la variable" dataDxfId="28" dataCellStyle="Default 1"/>
    <tableColumn id="4" xr3:uid="{AF89AFB8-BD7C-4629-924D-6F8D1DAF95D5}" name="éventuellement le nombre de modalités" dataDxfId="27" dataCellStyle="Default 1"/>
    <tableColumn id="5" xr3:uid="{8037A378-12A4-4DC3-B05E-471334C8FBBB}" name="Description" dataDxfId="26" dataCellStyle="Default 1"/>
    <tableColumn id="6" xr3:uid="{AA7D95C9-DAF6-4316-98B6-9A0508B0A7E2}" name="Commentai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939FB0-9D46-4447-8E0D-6BA5B5BEBD70}" name="Tableau2" displayName="Tableau2" ref="A1:F67" totalsRowShown="0" headerRowDxfId="17" dataDxfId="18" headerRowCellStyle="Default 1" dataCellStyle="Default 1">
  <autoFilter ref="A1:F67" xr:uid="{92939FB0-9D46-4447-8E0D-6BA5B5BEBD70}"/>
  <tableColumns count="6">
    <tableColumn id="1" xr3:uid="{3085E36C-F610-4202-A46E-BF079ACC2E35}" name="Nom des Variables" dataDxfId="23" dataCellStyle="Default 1"/>
    <tableColumn id="2" xr3:uid="{A4187279-C06E-4B1D-AE72-98E607357869}" name="Nom fichier source" dataDxfId="22" dataCellStyle="Default 1"/>
    <tableColumn id="3" xr3:uid="{9DCF04C6-7EA1-443E-A8B5-4793A080FC65}" name="Type de la variable" dataDxfId="21" dataCellStyle="Default 1"/>
    <tableColumn id="4" xr3:uid="{2787ED53-02EC-41A7-B65F-43B26ABE152A}" name="Nb de modalités"/>
    <tableColumn id="5" xr3:uid="{C8392001-AF8A-4DFF-9060-878130F009FB}" name="Description (Exemple)" dataDxfId="20" dataCellStyle="Default 1"/>
    <tableColumn id="6" xr3:uid="{189CBBCD-0EBB-4E2D-AF85-85F5E3AA3DB3}" name="Commentaire" dataDxfId="19" dataCellStyle="Default 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C15449-3E0B-42A3-B8CA-94950DE6D18F}" name="Tableau3" displayName="Tableau3" ref="A1:F10" totalsRowShown="0" headerRowDxfId="7" dataDxfId="8" headerRowBorderDxfId="15" tableBorderDxfId="16" headerRowCellStyle="Default 1" dataCellStyle="Default 1">
  <autoFilter ref="A1:F10" xr:uid="{BAC15449-3E0B-42A3-B8CA-94950DE6D18F}"/>
  <tableColumns count="6">
    <tableColumn id="1" xr3:uid="{D777D64F-6AE9-45E6-823B-87DD1EA08C35}" name="Nom des Variables" dataDxfId="14" dataCellStyle="Default 1"/>
    <tableColumn id="2" xr3:uid="{06603793-1968-4249-9E60-6EADC1CE9E3F}" name="Nom fichier source" dataDxfId="13" dataCellStyle="Default 1"/>
    <tableColumn id="3" xr3:uid="{6FE041EE-AFF0-4AF5-8A1E-F1A416D68213}" name="Type de la variable" dataDxfId="12" dataCellStyle="Default 1"/>
    <tableColumn id="4" xr3:uid="{DA5FE299-6830-4AC9-A156-C32500885032}" name="éventuellement le nombre de modalités" dataDxfId="11" dataCellStyle="Default 1"/>
    <tableColumn id="5" xr3:uid="{E38849D5-1288-4118-8B5D-CEAE402A35C6}" name="Description" dataDxfId="10" dataCellStyle="Default 1"/>
    <tableColumn id="6" xr3:uid="{F494FD57-645C-4F9C-BCF6-131A33885977}" name="Commentaire" dataDxfId="9" dataCellStyle="Default 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98188E-D171-4205-AB11-3E911C65DD20}" name="Tableau4" displayName="Tableau4" ref="A1:E4" totalsRowShown="0" headerRowBorderDxfId="5" tableBorderDxfId="6" totalsRowBorderDxfId="4">
  <autoFilter ref="A1:E4" xr:uid="{C798188E-D171-4205-AB11-3E911C65DD20}"/>
  <tableColumns count="5">
    <tableColumn id="1" xr3:uid="{455A1829-02C5-465D-8FB4-C21159121972}" name="Nom" dataDxfId="3" dataCellStyle="Default 1"/>
    <tableColumn id="2" xr3:uid="{F14ECCA7-AAB6-48A6-B1A6-F36FA0F74C54}" name="Description de contenu"/>
    <tableColumn id="3" xr3:uid="{91965CA4-97F0-4D44-8F0B-0A53CDD3DE90}" name="Format" dataDxfId="2" dataCellStyle="Default 1"/>
    <tableColumn id="4" xr3:uid="{027D0B40-AE4A-4651-97F2-1DFFCAA0642B}" name="Taille" dataDxfId="1" dataCellStyle="Default 1"/>
    <tableColumn id="5" xr3:uid="{8C93CDDB-78AD-4B74-B735-60FEECB93060}" name="date dernière mise à jour" dataDxfId="0" dataCellStyle="Default 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8"/>
  <sheetViews>
    <sheetView topLeftCell="A19" zoomScaleNormal="100" workbookViewId="0">
      <selection activeCell="I9" sqref="I9"/>
    </sheetView>
  </sheetViews>
  <sheetFormatPr baseColWidth="10" defaultColWidth="10.85546875" defaultRowHeight="15" x14ac:dyDescent="0.25"/>
  <cols>
    <col min="1" max="1" width="25.28515625" style="1" customWidth="1"/>
    <col min="2" max="2" width="19.85546875" style="1" customWidth="1"/>
    <col min="3" max="3" width="23.7109375" style="1" customWidth="1"/>
    <col min="4" max="4" width="39.140625" style="1" customWidth="1"/>
    <col min="5" max="5" width="34.42578125" style="1" customWidth="1"/>
    <col min="6" max="6" width="22.28515625" style="1" customWidth="1"/>
    <col min="16384" max="16384" width="11.7109375" style="1" customWidth="1"/>
  </cols>
  <sheetData>
    <row r="1" spans="1:6" ht="47.25" customHeight="1" x14ac:dyDescent="0.25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</row>
    <row r="2" spans="1:6" x14ac:dyDescent="0.25">
      <c r="A2" s="47" t="s">
        <v>6</v>
      </c>
      <c r="B2" s="4" t="s">
        <v>7</v>
      </c>
      <c r="C2" s="4" t="s">
        <v>8</v>
      </c>
      <c r="D2" s="5"/>
      <c r="E2" s="5"/>
      <c r="F2" s="5"/>
    </row>
    <row r="3" spans="1:6" x14ac:dyDescent="0.25">
      <c r="A3" s="47" t="s">
        <v>9</v>
      </c>
      <c r="B3" s="4" t="s">
        <v>7</v>
      </c>
      <c r="C3" s="4" t="s">
        <v>8</v>
      </c>
      <c r="D3" s="5"/>
      <c r="E3" s="5"/>
      <c r="F3" s="5"/>
    </row>
    <row r="4" spans="1:6" ht="15" customHeight="1" x14ac:dyDescent="0.25">
      <c r="A4" s="47" t="s">
        <v>10</v>
      </c>
      <c r="B4" s="4" t="s">
        <v>7</v>
      </c>
      <c r="C4" s="4" t="s">
        <v>11</v>
      </c>
      <c r="D4" s="5"/>
      <c r="E4" s="5"/>
      <c r="F4" s="5"/>
    </row>
    <row r="5" spans="1:6" x14ac:dyDescent="0.25">
      <c r="A5" s="48" t="s">
        <v>12</v>
      </c>
      <c r="B5" s="3" t="s">
        <v>7</v>
      </c>
      <c r="C5" s="3" t="s">
        <v>11</v>
      </c>
      <c r="D5" s="3">
        <v>10</v>
      </c>
      <c r="E5" s="3" t="s">
        <v>13</v>
      </c>
      <c r="F5" s="3"/>
    </row>
    <row r="6" spans="1:6" x14ac:dyDescent="0.25">
      <c r="A6" s="47" t="s">
        <v>14</v>
      </c>
      <c r="B6" s="4" t="s">
        <v>7</v>
      </c>
      <c r="C6" s="4" t="s">
        <v>15</v>
      </c>
      <c r="D6" s="5"/>
      <c r="E6" s="5"/>
      <c r="F6" s="5"/>
    </row>
    <row r="7" spans="1:6" x14ac:dyDescent="0.25">
      <c r="A7" s="47" t="s">
        <v>16</v>
      </c>
      <c r="B7" s="4" t="s">
        <v>7</v>
      </c>
      <c r="C7" s="4" t="s">
        <v>17</v>
      </c>
      <c r="D7" s="5"/>
      <c r="E7" s="5"/>
      <c r="F7" s="5"/>
    </row>
    <row r="8" spans="1:6" x14ac:dyDescent="0.25">
      <c r="A8" s="47" t="s">
        <v>18</v>
      </c>
      <c r="B8" s="4" t="s">
        <v>7</v>
      </c>
      <c r="C8" s="4" t="s">
        <v>11</v>
      </c>
      <c r="D8" s="5"/>
      <c r="E8" s="5"/>
      <c r="F8" s="5"/>
    </row>
    <row r="9" spans="1:6" x14ac:dyDescent="0.25">
      <c r="A9" s="48" t="s">
        <v>19</v>
      </c>
      <c r="B9" s="3" t="s">
        <v>7</v>
      </c>
      <c r="C9" s="3" t="s">
        <v>20</v>
      </c>
      <c r="D9" s="3">
        <v>10</v>
      </c>
      <c r="E9" s="3" t="s">
        <v>21</v>
      </c>
      <c r="F9" s="6"/>
    </row>
    <row r="10" spans="1:6" x14ac:dyDescent="0.25">
      <c r="A10" s="48" t="s">
        <v>22</v>
      </c>
      <c r="B10" s="3" t="s">
        <v>7</v>
      </c>
      <c r="C10" s="3" t="s">
        <v>11</v>
      </c>
      <c r="D10" s="3">
        <v>10</v>
      </c>
      <c r="E10" s="3" t="s">
        <v>23</v>
      </c>
      <c r="F10" s="3"/>
    </row>
    <row r="11" spans="1:6" x14ac:dyDescent="0.25">
      <c r="A11" s="47" t="s">
        <v>24</v>
      </c>
      <c r="B11" s="4" t="s">
        <v>7</v>
      </c>
      <c r="C11" s="4" t="s">
        <v>20</v>
      </c>
      <c r="D11" s="5"/>
      <c r="E11" s="5"/>
      <c r="F11" s="5"/>
    </row>
    <row r="12" spans="1:6" x14ac:dyDescent="0.25">
      <c r="A12" s="47" t="s">
        <v>25</v>
      </c>
      <c r="B12" s="4" t="s">
        <v>7</v>
      </c>
      <c r="C12" s="4" t="s">
        <v>26</v>
      </c>
      <c r="D12" s="5"/>
      <c r="E12" s="5"/>
      <c r="F12" s="5"/>
    </row>
    <row r="13" spans="1:6" x14ac:dyDescent="0.25">
      <c r="A13" s="47" t="s">
        <v>27</v>
      </c>
      <c r="B13" s="4" t="s">
        <v>7</v>
      </c>
      <c r="C13" s="4" t="s">
        <v>28</v>
      </c>
      <c r="D13" s="5"/>
      <c r="E13" s="5"/>
      <c r="F13" s="5"/>
    </row>
    <row r="14" spans="1:6" x14ac:dyDescent="0.25">
      <c r="A14" s="47" t="s">
        <v>29</v>
      </c>
      <c r="B14" s="4" t="s">
        <v>7</v>
      </c>
      <c r="C14" s="4" t="s">
        <v>30</v>
      </c>
      <c r="D14" s="5"/>
      <c r="E14" s="5"/>
      <c r="F14" s="5"/>
    </row>
    <row r="15" spans="1:6" x14ac:dyDescent="0.25">
      <c r="A15" s="48" t="s">
        <v>31</v>
      </c>
      <c r="B15" s="3" t="s">
        <v>7</v>
      </c>
      <c r="C15" s="3" t="s">
        <v>28</v>
      </c>
      <c r="D15" s="3" t="s">
        <v>32</v>
      </c>
      <c r="E15" s="3" t="s">
        <v>33</v>
      </c>
      <c r="F15" s="3"/>
    </row>
    <row r="16" spans="1:6" x14ac:dyDescent="0.25">
      <c r="A16" s="48" t="s">
        <v>34</v>
      </c>
      <c r="B16" s="3" t="s">
        <v>7</v>
      </c>
      <c r="C16" s="3" t="s">
        <v>28</v>
      </c>
      <c r="D16" s="3">
        <v>10</v>
      </c>
      <c r="E16" s="3" t="s">
        <v>35</v>
      </c>
      <c r="F16" s="3"/>
    </row>
    <row r="17" spans="1:6" x14ac:dyDescent="0.25">
      <c r="A17" s="47" t="s">
        <v>36</v>
      </c>
      <c r="B17" s="4" t="s">
        <v>7</v>
      </c>
      <c r="C17" s="4" t="s">
        <v>30</v>
      </c>
      <c r="D17" s="5"/>
      <c r="E17" s="5"/>
      <c r="F17" s="5"/>
    </row>
    <row r="18" spans="1:6" x14ac:dyDescent="0.25">
      <c r="A18" s="47" t="s">
        <v>37</v>
      </c>
      <c r="B18" s="4" t="s">
        <v>7</v>
      </c>
      <c r="C18" s="4" t="s">
        <v>8</v>
      </c>
      <c r="D18" s="5"/>
      <c r="E18" s="5"/>
      <c r="F18" s="5"/>
    </row>
    <row r="19" spans="1:6" x14ac:dyDescent="0.25">
      <c r="A19" s="47" t="s">
        <v>38</v>
      </c>
      <c r="B19" s="4" t="s">
        <v>7</v>
      </c>
      <c r="C19" s="4" t="s">
        <v>8</v>
      </c>
      <c r="D19" s="5"/>
      <c r="E19" s="5"/>
      <c r="F19" s="5"/>
    </row>
    <row r="20" spans="1:6" x14ac:dyDescent="0.25">
      <c r="A20" s="47" t="s">
        <v>39</v>
      </c>
      <c r="B20" s="4" t="s">
        <v>7</v>
      </c>
      <c r="C20" s="4" t="s">
        <v>28</v>
      </c>
      <c r="D20" s="5"/>
      <c r="E20" s="5"/>
      <c r="F20" s="5"/>
    </row>
    <row r="21" spans="1:6" x14ac:dyDescent="0.25">
      <c r="A21" s="47" t="s">
        <v>40</v>
      </c>
      <c r="B21" s="4" t="s">
        <v>7</v>
      </c>
      <c r="C21" s="4" t="s">
        <v>41</v>
      </c>
      <c r="D21" s="5"/>
      <c r="E21" s="5"/>
      <c r="F21" s="5"/>
    </row>
    <row r="22" spans="1:6" x14ac:dyDescent="0.25">
      <c r="A22" s="48" t="s">
        <v>42</v>
      </c>
      <c r="B22" s="3" t="s">
        <v>7</v>
      </c>
      <c r="C22" s="3" t="s">
        <v>20</v>
      </c>
      <c r="D22" s="3" t="s">
        <v>43</v>
      </c>
      <c r="E22" s="6"/>
      <c r="F22" s="6"/>
    </row>
    <row r="23" spans="1:6" x14ac:dyDescent="0.25">
      <c r="A23" s="47" t="s">
        <v>44</v>
      </c>
      <c r="B23" s="4" t="s">
        <v>7</v>
      </c>
      <c r="C23" s="4" t="s">
        <v>45</v>
      </c>
      <c r="D23" s="5"/>
      <c r="E23" s="5"/>
      <c r="F23" s="5"/>
    </row>
    <row r="24" spans="1:6" x14ac:dyDescent="0.25">
      <c r="A24" s="47" t="s">
        <v>46</v>
      </c>
      <c r="B24" s="4" t="s">
        <v>7</v>
      </c>
      <c r="C24" s="4" t="s">
        <v>20</v>
      </c>
      <c r="D24" s="5"/>
      <c r="E24" s="5"/>
      <c r="F24" s="5"/>
    </row>
    <row r="25" spans="1:6" x14ac:dyDescent="0.25">
      <c r="A25" s="47" t="s">
        <v>47</v>
      </c>
      <c r="B25" s="4" t="s">
        <v>7</v>
      </c>
      <c r="C25" s="4" t="s">
        <v>11</v>
      </c>
      <c r="D25" s="5"/>
      <c r="E25" s="5"/>
      <c r="F25" s="5"/>
    </row>
    <row r="26" spans="1:6" x14ac:dyDescent="0.25">
      <c r="A26" s="49" t="s">
        <v>48</v>
      </c>
      <c r="B26" s="2" t="s">
        <v>7</v>
      </c>
      <c r="C26" s="2" t="s">
        <v>20</v>
      </c>
      <c r="D26" s="2" t="s">
        <v>49</v>
      </c>
      <c r="E26" s="7"/>
      <c r="F26" s="7"/>
    </row>
    <row r="27" spans="1:6" x14ac:dyDescent="0.25">
      <c r="A27" s="49" t="s">
        <v>50</v>
      </c>
      <c r="B27" s="2" t="s">
        <v>7</v>
      </c>
      <c r="C27" s="2" t="s">
        <v>11</v>
      </c>
      <c r="D27" s="2">
        <v>10</v>
      </c>
      <c r="E27" s="2" t="s">
        <v>51</v>
      </c>
      <c r="F27" s="7"/>
    </row>
    <row r="28" spans="1:6" x14ac:dyDescent="0.25">
      <c r="A28" s="49" t="s">
        <v>52</v>
      </c>
      <c r="B28" s="2" t="s">
        <v>7</v>
      </c>
      <c r="C28" s="2" t="s">
        <v>20</v>
      </c>
      <c r="D28" s="2" t="s">
        <v>53</v>
      </c>
      <c r="E28" s="7"/>
      <c r="F28" s="7"/>
    </row>
    <row r="29" spans="1:6" x14ac:dyDescent="0.25">
      <c r="A29" s="48" t="s">
        <v>54</v>
      </c>
      <c r="B29" s="3" t="s">
        <v>7</v>
      </c>
      <c r="C29" s="3" t="s">
        <v>11</v>
      </c>
      <c r="D29" s="3">
        <v>10</v>
      </c>
      <c r="E29" s="3" t="s">
        <v>55</v>
      </c>
      <c r="F29" s="3"/>
    </row>
    <row r="30" spans="1:6" x14ac:dyDescent="0.25">
      <c r="A30" s="47" t="s">
        <v>56</v>
      </c>
      <c r="B30" s="4" t="s">
        <v>7</v>
      </c>
      <c r="C30" s="4" t="s">
        <v>20</v>
      </c>
      <c r="D30" s="5"/>
      <c r="E30" s="5"/>
      <c r="F30" s="5"/>
    </row>
    <row r="31" spans="1:6" x14ac:dyDescent="0.25">
      <c r="A31" s="47" t="s">
        <v>57</v>
      </c>
      <c r="B31" s="4" t="s">
        <v>7</v>
      </c>
      <c r="C31" s="4" t="s">
        <v>11</v>
      </c>
      <c r="D31" s="5"/>
      <c r="E31" s="5"/>
      <c r="F31" s="5"/>
    </row>
    <row r="32" spans="1:6" x14ac:dyDescent="0.25">
      <c r="A32" s="49" t="s">
        <v>58</v>
      </c>
      <c r="B32" s="2" t="s">
        <v>7</v>
      </c>
      <c r="C32" s="2" t="s">
        <v>20</v>
      </c>
      <c r="D32" s="7"/>
      <c r="E32" s="7"/>
      <c r="F32" s="7"/>
    </row>
    <row r="33" spans="1:6" x14ac:dyDescent="0.25">
      <c r="A33" s="49" t="s">
        <v>59</v>
      </c>
      <c r="B33" s="2" t="s">
        <v>7</v>
      </c>
      <c r="C33" s="2" t="s">
        <v>11</v>
      </c>
      <c r="D33" s="2">
        <v>10</v>
      </c>
      <c r="E33" s="2" t="s">
        <v>60</v>
      </c>
      <c r="F33" s="7"/>
    </row>
    <row r="34" spans="1:6" x14ac:dyDescent="0.25">
      <c r="A34" s="48" t="s">
        <v>61</v>
      </c>
      <c r="B34" s="3" t="s">
        <v>7</v>
      </c>
      <c r="C34" s="3" t="s">
        <v>20</v>
      </c>
      <c r="D34" s="3" t="s">
        <v>62</v>
      </c>
      <c r="E34" s="3" t="s">
        <v>63</v>
      </c>
      <c r="F34" s="3"/>
    </row>
    <row r="35" spans="1:6" x14ac:dyDescent="0.25">
      <c r="A35" s="48" t="s">
        <v>64</v>
      </c>
      <c r="B35" s="3" t="s">
        <v>7</v>
      </c>
      <c r="C35" s="3" t="s">
        <v>11</v>
      </c>
      <c r="D35" s="3" t="s">
        <v>62</v>
      </c>
      <c r="E35" s="3" t="s">
        <v>65</v>
      </c>
      <c r="F35" s="3"/>
    </row>
    <row r="36" spans="1:6" x14ac:dyDescent="0.25">
      <c r="A36" s="49" t="s">
        <v>66</v>
      </c>
      <c r="B36" s="2" t="s">
        <v>7</v>
      </c>
      <c r="C36" s="2" t="s">
        <v>20</v>
      </c>
      <c r="D36" s="2" t="s">
        <v>49</v>
      </c>
      <c r="E36" s="2" t="s">
        <v>67</v>
      </c>
      <c r="F36" s="2"/>
    </row>
    <row r="37" spans="1:6" x14ac:dyDescent="0.25">
      <c r="A37" s="49" t="s">
        <v>68</v>
      </c>
      <c r="B37" s="2" t="s">
        <v>7</v>
      </c>
      <c r="C37" s="2" t="s">
        <v>11</v>
      </c>
      <c r="D37" s="2">
        <v>10</v>
      </c>
      <c r="E37" s="2" t="s">
        <v>69</v>
      </c>
      <c r="F37" s="2" t="s">
        <v>70</v>
      </c>
    </row>
    <row r="38" spans="1:6" x14ac:dyDescent="0.25">
      <c r="A38" s="49" t="s">
        <v>71</v>
      </c>
      <c r="B38" s="2" t="s">
        <v>7</v>
      </c>
      <c r="C38" s="2" t="s">
        <v>11</v>
      </c>
      <c r="D38" s="2" t="s">
        <v>72</v>
      </c>
      <c r="E38" s="2" t="s">
        <v>73</v>
      </c>
      <c r="F38" s="8" t="s">
        <v>74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70"/>
  <sheetViews>
    <sheetView zoomScaleNormal="100" workbookViewId="0">
      <selection activeCell="H11" sqref="H11"/>
    </sheetView>
  </sheetViews>
  <sheetFormatPr baseColWidth="10" defaultColWidth="11.7109375" defaultRowHeight="15" x14ac:dyDescent="0.25"/>
  <cols>
    <col min="1" max="1" width="19.7109375" style="9" customWidth="1"/>
    <col min="2" max="2" width="19.85546875" style="9" customWidth="1"/>
    <col min="3" max="3" width="23.140625" style="9" customWidth="1"/>
    <col min="4" max="4" width="19.7109375" style="9" customWidth="1"/>
    <col min="5" max="6" width="30.7109375" style="9" customWidth="1"/>
    <col min="16384" max="16384" width="11.7109375" style="10" customWidth="1"/>
  </cols>
  <sheetData>
    <row r="1" spans="1:6" ht="30" x14ac:dyDescent="0.25">
      <c r="A1" s="11" t="s">
        <v>0</v>
      </c>
      <c r="B1" s="11" t="s">
        <v>1</v>
      </c>
      <c r="C1" s="11" t="s">
        <v>2</v>
      </c>
      <c r="D1" s="11" t="s">
        <v>75</v>
      </c>
      <c r="E1" s="11" t="s">
        <v>76</v>
      </c>
      <c r="F1" s="11" t="s">
        <v>5</v>
      </c>
    </row>
    <row r="2" spans="1:6" ht="30" x14ac:dyDescent="0.25">
      <c r="A2" s="12" t="s">
        <v>77</v>
      </c>
      <c r="B2" s="13" t="s">
        <v>78</v>
      </c>
      <c r="C2" s="13" t="s">
        <v>45</v>
      </c>
      <c r="D2" s="13">
        <v>20</v>
      </c>
      <c r="E2" s="13" t="s">
        <v>79</v>
      </c>
      <c r="F2" s="13" t="s">
        <v>80</v>
      </c>
    </row>
    <row r="3" spans="1:6" x14ac:dyDescent="0.25">
      <c r="A3" s="14" t="s">
        <v>44</v>
      </c>
      <c r="B3" s="15" t="s">
        <v>78</v>
      </c>
      <c r="C3" s="15" t="s">
        <v>45</v>
      </c>
      <c r="D3" s="15">
        <v>20</v>
      </c>
      <c r="E3" s="15" t="s">
        <v>79</v>
      </c>
      <c r="F3" s="15" t="s">
        <v>81</v>
      </c>
    </row>
    <row r="4" spans="1:6" x14ac:dyDescent="0.25">
      <c r="A4" s="12" t="s">
        <v>82</v>
      </c>
      <c r="B4" s="13" t="s">
        <v>78</v>
      </c>
      <c r="C4" s="13" t="s">
        <v>8</v>
      </c>
      <c r="D4" s="13">
        <v>2</v>
      </c>
      <c r="E4" s="13" t="s">
        <v>83</v>
      </c>
      <c r="F4" s="13" t="s">
        <v>84</v>
      </c>
    </row>
    <row r="5" spans="1:6" s="10" customFormat="1" x14ac:dyDescent="0.25">
      <c r="A5" s="12" t="s">
        <v>9</v>
      </c>
      <c r="B5" s="13" t="s">
        <v>78</v>
      </c>
      <c r="C5" s="13" t="s">
        <v>8</v>
      </c>
      <c r="D5" s="13">
        <v>2</v>
      </c>
      <c r="E5" s="13" t="s">
        <v>83</v>
      </c>
      <c r="F5" s="13" t="s">
        <v>85</v>
      </c>
    </row>
    <row r="6" spans="1:6" ht="30" x14ac:dyDescent="0.25">
      <c r="A6" s="12" t="s">
        <v>40</v>
      </c>
      <c r="B6" s="13" t="s">
        <v>78</v>
      </c>
      <c r="C6" s="13" t="s">
        <v>41</v>
      </c>
      <c r="D6" s="13">
        <v>20</v>
      </c>
      <c r="E6" s="13" t="s">
        <v>86</v>
      </c>
      <c r="F6" s="13" t="s">
        <v>87</v>
      </c>
    </row>
    <row r="7" spans="1:6" x14ac:dyDescent="0.25">
      <c r="A7" s="14" t="s">
        <v>10</v>
      </c>
      <c r="B7" s="15" t="s">
        <v>78</v>
      </c>
      <c r="C7" s="15" t="s">
        <v>45</v>
      </c>
      <c r="D7" s="15">
        <v>20</v>
      </c>
      <c r="E7" s="15" t="s">
        <v>88</v>
      </c>
      <c r="F7" s="15" t="s">
        <v>89</v>
      </c>
    </row>
    <row r="8" spans="1:6" x14ac:dyDescent="0.25">
      <c r="A8" s="12" t="s">
        <v>12</v>
      </c>
      <c r="B8" s="13" t="s">
        <v>78</v>
      </c>
      <c r="C8" s="13" t="s">
        <v>45</v>
      </c>
      <c r="D8" s="13">
        <v>20</v>
      </c>
      <c r="E8" s="13" t="s">
        <v>90</v>
      </c>
      <c r="F8" s="13" t="s">
        <v>91</v>
      </c>
    </row>
    <row r="9" spans="1:6" x14ac:dyDescent="0.25">
      <c r="A9" s="12" t="s">
        <v>92</v>
      </c>
      <c r="B9" s="13" t="s">
        <v>78</v>
      </c>
      <c r="C9" s="13" t="s">
        <v>45</v>
      </c>
      <c r="D9" s="13">
        <v>15</v>
      </c>
      <c r="E9" s="13" t="s">
        <v>93</v>
      </c>
      <c r="F9" s="13" t="s">
        <v>94</v>
      </c>
    </row>
    <row r="10" spans="1:6" x14ac:dyDescent="0.25">
      <c r="A10" s="12" t="s">
        <v>25</v>
      </c>
      <c r="B10" s="13" t="s">
        <v>78</v>
      </c>
      <c r="C10" s="13" t="s">
        <v>45</v>
      </c>
      <c r="D10" s="13">
        <v>20</v>
      </c>
      <c r="E10" s="13" t="s">
        <v>95</v>
      </c>
      <c r="F10" s="13"/>
    </row>
    <row r="11" spans="1:6" ht="30" x14ac:dyDescent="0.25">
      <c r="A11" s="12" t="s">
        <v>96</v>
      </c>
      <c r="B11" s="13" t="s">
        <v>78</v>
      </c>
      <c r="C11" s="13" t="s">
        <v>45</v>
      </c>
      <c r="D11" s="13">
        <v>12</v>
      </c>
      <c r="E11" s="13" t="s">
        <v>97</v>
      </c>
      <c r="F11" s="13" t="s">
        <v>98</v>
      </c>
    </row>
    <row r="12" spans="1:6" ht="30" x14ac:dyDescent="0.25">
      <c r="A12" s="14" t="s">
        <v>99</v>
      </c>
      <c r="B12" s="15" t="s">
        <v>78</v>
      </c>
      <c r="C12" s="15" t="s">
        <v>45</v>
      </c>
      <c r="D12" s="15">
        <v>11</v>
      </c>
      <c r="E12" s="15" t="s">
        <v>100</v>
      </c>
      <c r="F12" s="15" t="s">
        <v>101</v>
      </c>
    </row>
    <row r="13" spans="1:6" ht="30" x14ac:dyDescent="0.25">
      <c r="A13" s="12" t="s">
        <v>102</v>
      </c>
      <c r="B13" s="13" t="s">
        <v>78</v>
      </c>
      <c r="C13" s="13" t="s">
        <v>45</v>
      </c>
      <c r="D13" s="13">
        <v>11</v>
      </c>
      <c r="E13" s="13" t="s">
        <v>103</v>
      </c>
      <c r="F13" s="1"/>
    </row>
    <row r="14" spans="1:6" x14ac:dyDescent="0.25">
      <c r="A14" s="12" t="s">
        <v>104</v>
      </c>
      <c r="B14" s="13" t="s">
        <v>78</v>
      </c>
      <c r="C14" s="13" t="s">
        <v>45</v>
      </c>
      <c r="D14" s="13">
        <v>11</v>
      </c>
      <c r="E14" s="13" t="s">
        <v>100</v>
      </c>
      <c r="F14" s="13" t="s">
        <v>105</v>
      </c>
    </row>
    <row r="15" spans="1:6" ht="30" x14ac:dyDescent="0.25">
      <c r="A15" s="12" t="s">
        <v>106</v>
      </c>
      <c r="B15" s="13" t="s">
        <v>78</v>
      </c>
      <c r="C15" s="13" t="s">
        <v>45</v>
      </c>
      <c r="D15" s="13">
        <v>17</v>
      </c>
      <c r="E15" s="13" t="s">
        <v>103</v>
      </c>
      <c r="F15" s="1"/>
    </row>
    <row r="16" spans="1:6" x14ac:dyDescent="0.25">
      <c r="A16" s="12" t="s">
        <v>107</v>
      </c>
      <c r="B16" s="13" t="s">
        <v>78</v>
      </c>
      <c r="C16" s="13" t="s">
        <v>108</v>
      </c>
      <c r="D16" s="13">
        <v>18</v>
      </c>
      <c r="E16" s="16" t="b">
        <f>FALSE()</f>
        <v>0</v>
      </c>
      <c r="F16" s="13" t="s">
        <v>109</v>
      </c>
    </row>
    <row r="17" spans="1:6" x14ac:dyDescent="0.25">
      <c r="A17" s="12" t="s">
        <v>110</v>
      </c>
      <c r="B17" s="13" t="s">
        <v>78</v>
      </c>
      <c r="C17" s="13" t="s">
        <v>108</v>
      </c>
      <c r="D17" s="13">
        <v>19</v>
      </c>
      <c r="E17" s="16" t="b">
        <f>TRUE()</f>
        <v>1</v>
      </c>
      <c r="F17" s="13" t="s">
        <v>111</v>
      </c>
    </row>
    <row r="18" spans="1:6" x14ac:dyDescent="0.25">
      <c r="A18" s="14" t="s">
        <v>112</v>
      </c>
      <c r="B18" s="15" t="s">
        <v>78</v>
      </c>
      <c r="C18" s="15" t="s">
        <v>45</v>
      </c>
      <c r="D18" s="15">
        <v>20</v>
      </c>
      <c r="E18" s="15" t="s">
        <v>113</v>
      </c>
      <c r="F18" s="15" t="s">
        <v>114</v>
      </c>
    </row>
    <row r="19" spans="1:6" x14ac:dyDescent="0.25">
      <c r="A19" s="17" t="s">
        <v>115</v>
      </c>
      <c r="B19" s="18" t="s">
        <v>78</v>
      </c>
      <c r="C19" s="18" t="s">
        <v>20</v>
      </c>
      <c r="D19" s="18">
        <v>21</v>
      </c>
      <c r="E19" s="18">
        <v>5</v>
      </c>
      <c r="F19" s="18" t="s">
        <v>116</v>
      </c>
    </row>
    <row r="20" spans="1:6" x14ac:dyDescent="0.25">
      <c r="A20" s="12" t="s">
        <v>117</v>
      </c>
      <c r="B20" s="13" t="s">
        <v>78</v>
      </c>
      <c r="C20" s="13" t="s">
        <v>8</v>
      </c>
      <c r="D20" s="13">
        <v>22</v>
      </c>
      <c r="E20" s="13" t="s">
        <v>103</v>
      </c>
      <c r="F20" s="1"/>
    </row>
    <row r="21" spans="1:6" ht="30" x14ac:dyDescent="0.25">
      <c r="A21" s="12" t="s">
        <v>118</v>
      </c>
      <c r="B21" s="13" t="s">
        <v>78</v>
      </c>
      <c r="C21" s="13" t="s">
        <v>45</v>
      </c>
      <c r="D21" s="13">
        <v>23</v>
      </c>
      <c r="E21" s="13" t="s">
        <v>103</v>
      </c>
      <c r="F21" s="1"/>
    </row>
    <row r="22" spans="1:6" ht="30" x14ac:dyDescent="0.25">
      <c r="A22" s="17" t="s">
        <v>119</v>
      </c>
      <c r="B22" s="18" t="s">
        <v>78</v>
      </c>
      <c r="C22" s="18" t="s">
        <v>20</v>
      </c>
      <c r="D22" s="18">
        <v>24</v>
      </c>
      <c r="E22" s="18">
        <v>1970</v>
      </c>
      <c r="F22" s="18" t="s">
        <v>120</v>
      </c>
    </row>
    <row r="23" spans="1:6" ht="30" x14ac:dyDescent="0.25">
      <c r="A23" s="12" t="s">
        <v>121</v>
      </c>
      <c r="B23" s="13" t="s">
        <v>78</v>
      </c>
      <c r="C23" s="13" t="s">
        <v>45</v>
      </c>
      <c r="D23" s="13">
        <v>25</v>
      </c>
      <c r="E23" s="13" t="s">
        <v>122</v>
      </c>
      <c r="F23" s="13" t="s">
        <v>123</v>
      </c>
    </row>
    <row r="24" spans="1:6" ht="30" x14ac:dyDescent="0.25">
      <c r="A24" s="12" t="s">
        <v>124</v>
      </c>
      <c r="B24" s="13" t="s">
        <v>78</v>
      </c>
      <c r="C24" s="13" t="s">
        <v>20</v>
      </c>
      <c r="D24" s="13">
        <v>26</v>
      </c>
      <c r="E24" s="13">
        <v>2002</v>
      </c>
      <c r="F24" s="13" t="s">
        <v>125</v>
      </c>
    </row>
    <row r="25" spans="1:6" ht="30" x14ac:dyDescent="0.25">
      <c r="A25" s="12" t="s">
        <v>126</v>
      </c>
      <c r="B25" s="13" t="s">
        <v>78</v>
      </c>
      <c r="C25" s="13" t="s">
        <v>45</v>
      </c>
      <c r="D25" s="13">
        <v>27</v>
      </c>
      <c r="E25" s="13" t="s">
        <v>127</v>
      </c>
      <c r="F25" s="13" t="s">
        <v>123</v>
      </c>
    </row>
    <row r="26" spans="1:6" ht="30" x14ac:dyDescent="0.25">
      <c r="A26" s="12" t="s">
        <v>128</v>
      </c>
      <c r="B26" s="13" t="s">
        <v>78</v>
      </c>
      <c r="C26" s="13" t="s">
        <v>45</v>
      </c>
      <c r="D26" s="13">
        <v>28</v>
      </c>
      <c r="E26" s="13" t="s">
        <v>129</v>
      </c>
      <c r="F26" s="13" t="s">
        <v>130</v>
      </c>
    </row>
    <row r="27" spans="1:6" x14ac:dyDescent="0.25">
      <c r="A27" s="12" t="s">
        <v>131</v>
      </c>
      <c r="B27" s="13" t="s">
        <v>78</v>
      </c>
      <c r="C27" s="13" t="s">
        <v>45</v>
      </c>
      <c r="D27" s="13">
        <v>29</v>
      </c>
      <c r="E27" s="13" t="s">
        <v>132</v>
      </c>
      <c r="F27" s="13" t="s">
        <v>133</v>
      </c>
    </row>
    <row r="28" spans="1:6" x14ac:dyDescent="0.25">
      <c r="A28" s="12" t="s">
        <v>134</v>
      </c>
      <c r="B28" s="13" t="s">
        <v>78</v>
      </c>
      <c r="C28" s="13" t="s">
        <v>45</v>
      </c>
      <c r="D28" s="13">
        <v>30</v>
      </c>
      <c r="E28" s="13" t="s">
        <v>135</v>
      </c>
      <c r="F28" s="13" t="s">
        <v>136</v>
      </c>
    </row>
    <row r="29" spans="1:6" x14ac:dyDescent="0.25">
      <c r="A29" s="12" t="s">
        <v>137</v>
      </c>
      <c r="B29" s="13" t="s">
        <v>78</v>
      </c>
      <c r="C29" s="13" t="s">
        <v>45</v>
      </c>
      <c r="D29" s="13">
        <v>31</v>
      </c>
      <c r="E29" s="13" t="s">
        <v>138</v>
      </c>
      <c r="F29" s="13" t="s">
        <v>139</v>
      </c>
    </row>
    <row r="30" spans="1:6" x14ac:dyDescent="0.25">
      <c r="A30" s="12" t="s">
        <v>140</v>
      </c>
      <c r="B30" s="13" t="s">
        <v>78</v>
      </c>
      <c r="C30" s="13" t="s">
        <v>141</v>
      </c>
      <c r="D30" s="13">
        <v>32</v>
      </c>
      <c r="E30" s="13">
        <v>20</v>
      </c>
      <c r="F30" s="13" t="s">
        <v>142</v>
      </c>
    </row>
    <row r="31" spans="1:6" x14ac:dyDescent="0.25">
      <c r="A31" s="12" t="s">
        <v>143</v>
      </c>
      <c r="B31" s="13" t="s">
        <v>78</v>
      </c>
      <c r="C31" s="13" t="s">
        <v>141</v>
      </c>
      <c r="D31" s="13">
        <v>33</v>
      </c>
      <c r="E31" s="13">
        <v>12</v>
      </c>
      <c r="F31" s="13" t="s">
        <v>142</v>
      </c>
    </row>
    <row r="32" spans="1:6" x14ac:dyDescent="0.25">
      <c r="A32" s="12" t="s">
        <v>144</v>
      </c>
      <c r="B32" s="13" t="s">
        <v>78</v>
      </c>
      <c r="C32" s="13" t="s">
        <v>141</v>
      </c>
      <c r="D32" s="13">
        <v>34</v>
      </c>
      <c r="E32" s="13">
        <v>5</v>
      </c>
      <c r="F32" s="13" t="s">
        <v>142</v>
      </c>
    </row>
    <row r="33" spans="1:6" x14ac:dyDescent="0.25">
      <c r="A33" s="12" t="s">
        <v>145</v>
      </c>
      <c r="B33" s="13" t="s">
        <v>78</v>
      </c>
      <c r="C33" s="13" t="s">
        <v>141</v>
      </c>
      <c r="D33" s="13">
        <v>35</v>
      </c>
      <c r="E33" s="13">
        <v>240</v>
      </c>
      <c r="F33" s="13" t="s">
        <v>146</v>
      </c>
    </row>
    <row r="34" spans="1:6" x14ac:dyDescent="0.25">
      <c r="A34" s="12" t="s">
        <v>147</v>
      </c>
      <c r="B34" s="13" t="s">
        <v>78</v>
      </c>
      <c r="C34" s="13" t="s">
        <v>108</v>
      </c>
      <c r="D34" s="13">
        <v>36</v>
      </c>
      <c r="E34" s="16" t="b">
        <f>TRUE()</f>
        <v>1</v>
      </c>
      <c r="F34" s="13" t="s">
        <v>148</v>
      </c>
    </row>
    <row r="35" spans="1:6" x14ac:dyDescent="0.25">
      <c r="A35" s="12" t="s">
        <v>149</v>
      </c>
      <c r="B35" s="13" t="s">
        <v>78</v>
      </c>
      <c r="C35" s="13" t="s">
        <v>20</v>
      </c>
      <c r="D35" s="13">
        <v>37</v>
      </c>
      <c r="E35" s="13">
        <v>0</v>
      </c>
      <c r="F35" s="13" t="s">
        <v>150</v>
      </c>
    </row>
    <row r="36" spans="1:6" x14ac:dyDescent="0.25">
      <c r="A36" s="12" t="s">
        <v>151</v>
      </c>
      <c r="B36" s="13" t="s">
        <v>78</v>
      </c>
      <c r="C36" s="13" t="s">
        <v>141</v>
      </c>
      <c r="D36" s="13">
        <v>38</v>
      </c>
      <c r="E36" s="13">
        <v>0</v>
      </c>
      <c r="F36" s="13" t="s">
        <v>152</v>
      </c>
    </row>
    <row r="37" spans="1:6" ht="30" x14ac:dyDescent="0.25">
      <c r="A37" s="12" t="s">
        <v>153</v>
      </c>
      <c r="B37" s="13" t="s">
        <v>78</v>
      </c>
      <c r="C37" s="13" t="s">
        <v>141</v>
      </c>
      <c r="D37" s="13">
        <v>39</v>
      </c>
      <c r="E37" s="13">
        <v>1</v>
      </c>
      <c r="F37" s="1"/>
    </row>
    <row r="38" spans="1:6" ht="30" x14ac:dyDescent="0.25">
      <c r="A38" s="12" t="s">
        <v>154</v>
      </c>
      <c r="B38" s="13" t="s">
        <v>78</v>
      </c>
      <c r="C38" s="13" t="s">
        <v>141</v>
      </c>
      <c r="D38" s="13">
        <v>40</v>
      </c>
      <c r="E38" s="13">
        <v>0</v>
      </c>
      <c r="F38" s="1"/>
    </row>
    <row r="39" spans="1:6" x14ac:dyDescent="0.25">
      <c r="A39" s="12" t="s">
        <v>155</v>
      </c>
      <c r="B39" s="13" t="s">
        <v>78</v>
      </c>
      <c r="C39" s="13" t="s">
        <v>108</v>
      </c>
      <c r="D39" s="13">
        <v>41</v>
      </c>
      <c r="E39" s="16" t="b">
        <f>TRUE()</f>
        <v>1</v>
      </c>
      <c r="F39" s="13" t="s">
        <v>156</v>
      </c>
    </row>
    <row r="40" spans="1:6" x14ac:dyDescent="0.25">
      <c r="A40" s="12" t="s">
        <v>157</v>
      </c>
      <c r="B40" s="13" t="s">
        <v>78</v>
      </c>
      <c r="C40" s="13" t="s">
        <v>108</v>
      </c>
      <c r="D40" s="13">
        <v>42</v>
      </c>
      <c r="E40" s="16" t="b">
        <f>TRUE()</f>
        <v>1</v>
      </c>
      <c r="F40" s="13" t="s">
        <v>158</v>
      </c>
    </row>
    <row r="41" spans="1:6" x14ac:dyDescent="0.25">
      <c r="A41" s="12" t="s">
        <v>159</v>
      </c>
      <c r="B41" s="13" t="s">
        <v>78</v>
      </c>
      <c r="C41" s="13" t="s">
        <v>45</v>
      </c>
      <c r="D41" s="13">
        <v>43</v>
      </c>
      <c r="E41" s="13" t="s">
        <v>160</v>
      </c>
      <c r="F41" s="13" t="s">
        <v>161</v>
      </c>
    </row>
    <row r="42" spans="1:6" ht="30" x14ac:dyDescent="0.25">
      <c r="A42" s="12" t="s">
        <v>162</v>
      </c>
      <c r="B42" s="13" t="s">
        <v>78</v>
      </c>
      <c r="C42" s="13" t="s">
        <v>45</v>
      </c>
      <c r="D42" s="13">
        <v>44</v>
      </c>
      <c r="E42" s="13" t="s">
        <v>103</v>
      </c>
      <c r="F42" s="1"/>
    </row>
    <row r="43" spans="1:6" ht="30" x14ac:dyDescent="0.25">
      <c r="A43" s="12" t="s">
        <v>163</v>
      </c>
      <c r="B43" s="13" t="s">
        <v>78</v>
      </c>
      <c r="C43" s="13" t="s">
        <v>45</v>
      </c>
      <c r="D43" s="13">
        <v>45</v>
      </c>
      <c r="E43" s="13" t="s">
        <v>164</v>
      </c>
      <c r="F43" s="13" t="s">
        <v>165</v>
      </c>
    </row>
    <row r="44" spans="1:6" ht="30" x14ac:dyDescent="0.25">
      <c r="A44" s="12" t="s">
        <v>166</v>
      </c>
      <c r="B44" s="13" t="s">
        <v>78</v>
      </c>
      <c r="C44" s="13" t="s">
        <v>108</v>
      </c>
      <c r="D44" s="13">
        <v>46</v>
      </c>
      <c r="E44" s="16" t="b">
        <f>FALSE()</f>
        <v>0</v>
      </c>
      <c r="F44" s="1"/>
    </row>
    <row r="45" spans="1:6" x14ac:dyDescent="0.25">
      <c r="A45" s="12" t="s">
        <v>167</v>
      </c>
      <c r="B45" s="13" t="s">
        <v>78</v>
      </c>
      <c r="C45" s="13" t="s">
        <v>108</v>
      </c>
      <c r="D45" s="13">
        <v>47</v>
      </c>
      <c r="E45" s="16" t="s">
        <v>168</v>
      </c>
      <c r="F45" s="13"/>
    </row>
    <row r="46" spans="1:6" x14ac:dyDescent="0.25">
      <c r="A46" s="12" t="s">
        <v>169</v>
      </c>
      <c r="B46" s="13" t="s">
        <v>78</v>
      </c>
      <c r="C46" s="13" t="s">
        <v>141</v>
      </c>
      <c r="D46" s="13">
        <v>48</v>
      </c>
      <c r="E46" s="13"/>
      <c r="F46" s="13" t="s">
        <v>170</v>
      </c>
    </row>
    <row r="47" spans="1:6" x14ac:dyDescent="0.25">
      <c r="A47" s="12" t="s">
        <v>171</v>
      </c>
      <c r="B47" s="13" t="s">
        <v>78</v>
      </c>
      <c r="C47" s="13" t="s">
        <v>141</v>
      </c>
      <c r="D47" s="13">
        <v>49</v>
      </c>
      <c r="E47" s="13"/>
      <c r="F47" s="13" t="s">
        <v>170</v>
      </c>
    </row>
    <row r="48" spans="1:6" x14ac:dyDescent="0.25">
      <c r="A48" s="12" t="s">
        <v>172</v>
      </c>
      <c r="B48" s="13" t="s">
        <v>78</v>
      </c>
      <c r="C48" s="13" t="s">
        <v>141</v>
      </c>
      <c r="D48" s="13">
        <v>50</v>
      </c>
      <c r="E48" s="13"/>
      <c r="F48" s="13" t="s">
        <v>170</v>
      </c>
    </row>
    <row r="49" spans="1:6" ht="30" x14ac:dyDescent="0.25">
      <c r="A49" s="12" t="s">
        <v>173</v>
      </c>
      <c r="B49" s="13" t="s">
        <v>78</v>
      </c>
      <c r="C49" s="13" t="s">
        <v>141</v>
      </c>
      <c r="D49" s="13">
        <v>51</v>
      </c>
      <c r="E49" s="13"/>
      <c r="F49" s="13" t="s">
        <v>170</v>
      </c>
    </row>
    <row r="50" spans="1:6" ht="30" x14ac:dyDescent="0.25">
      <c r="A50" s="12" t="s">
        <v>174</v>
      </c>
      <c r="B50" s="13" t="s">
        <v>78</v>
      </c>
      <c r="C50" s="13" t="s">
        <v>141</v>
      </c>
      <c r="D50" s="13">
        <v>52</v>
      </c>
      <c r="E50" s="13"/>
      <c r="F50" s="13" t="s">
        <v>170</v>
      </c>
    </row>
    <row r="51" spans="1:6" x14ac:dyDescent="0.25">
      <c r="A51" s="12" t="s">
        <v>175</v>
      </c>
      <c r="B51" s="13" t="s">
        <v>78</v>
      </c>
      <c r="C51" s="13" t="s">
        <v>141</v>
      </c>
      <c r="D51" s="13">
        <v>53</v>
      </c>
      <c r="E51" s="13"/>
      <c r="F51" s="13" t="s">
        <v>176</v>
      </c>
    </row>
    <row r="52" spans="1:6" x14ac:dyDescent="0.25">
      <c r="A52" s="12" t="s">
        <v>177</v>
      </c>
      <c r="B52" s="13" t="s">
        <v>78</v>
      </c>
      <c r="C52" s="13" t="s">
        <v>141</v>
      </c>
      <c r="D52" s="13">
        <v>54</v>
      </c>
      <c r="E52" s="13"/>
      <c r="F52" s="13" t="s">
        <v>178</v>
      </c>
    </row>
    <row r="53" spans="1:6" x14ac:dyDescent="0.25">
      <c r="A53" s="12" t="s">
        <v>179</v>
      </c>
      <c r="B53" s="13" t="s">
        <v>78</v>
      </c>
      <c r="C53" s="13" t="s">
        <v>141</v>
      </c>
      <c r="D53" s="13">
        <v>55</v>
      </c>
      <c r="E53" s="13"/>
      <c r="F53" s="13" t="s">
        <v>178</v>
      </c>
    </row>
    <row r="54" spans="1:6" x14ac:dyDescent="0.25">
      <c r="A54" s="12" t="s">
        <v>180</v>
      </c>
      <c r="B54" s="13" t="s">
        <v>78</v>
      </c>
      <c r="C54" s="13" t="s">
        <v>20</v>
      </c>
      <c r="D54" s="13">
        <v>56</v>
      </c>
      <c r="E54" s="13"/>
      <c r="F54" s="13" t="s">
        <v>178</v>
      </c>
    </row>
    <row r="55" spans="1:6" x14ac:dyDescent="0.25">
      <c r="A55" s="12" t="s">
        <v>181</v>
      </c>
      <c r="B55" s="13" t="s">
        <v>78</v>
      </c>
      <c r="C55" s="13" t="s">
        <v>45</v>
      </c>
      <c r="D55" s="13">
        <v>57</v>
      </c>
      <c r="E55" s="13"/>
      <c r="F55" s="13" t="s">
        <v>182</v>
      </c>
    </row>
    <row r="56" spans="1:6" x14ac:dyDescent="0.25">
      <c r="A56" s="12" t="s">
        <v>183</v>
      </c>
      <c r="B56" s="13" t="s">
        <v>78</v>
      </c>
      <c r="C56" s="13" t="s">
        <v>41</v>
      </c>
      <c r="D56" s="13">
        <v>58</v>
      </c>
      <c r="E56" s="13"/>
      <c r="F56" s="13" t="s">
        <v>184</v>
      </c>
    </row>
    <row r="57" spans="1:6" x14ac:dyDescent="0.25">
      <c r="A57" s="12" t="s">
        <v>185</v>
      </c>
      <c r="B57" s="13" t="s">
        <v>78</v>
      </c>
      <c r="C57" s="13" t="s">
        <v>45</v>
      </c>
      <c r="D57" s="13">
        <v>59</v>
      </c>
      <c r="E57" s="13" t="s">
        <v>186</v>
      </c>
      <c r="F57" s="13" t="s">
        <v>187</v>
      </c>
    </row>
    <row r="58" spans="1:6" x14ac:dyDescent="0.25">
      <c r="A58" s="12" t="s">
        <v>188</v>
      </c>
      <c r="B58" s="13" t="s">
        <v>78</v>
      </c>
      <c r="C58" s="13" t="s">
        <v>108</v>
      </c>
      <c r="D58" s="13">
        <v>60</v>
      </c>
      <c r="E58" s="16" t="b">
        <f>FALSE()</f>
        <v>0</v>
      </c>
      <c r="F58" s="13" t="s">
        <v>189</v>
      </c>
    </row>
    <row r="59" spans="1:6" ht="30" x14ac:dyDescent="0.25">
      <c r="A59" s="17" t="s">
        <v>190</v>
      </c>
      <c r="B59" s="18" t="s">
        <v>78</v>
      </c>
      <c r="C59" s="18" t="s">
        <v>108</v>
      </c>
      <c r="D59" s="18">
        <v>2</v>
      </c>
      <c r="E59" s="19" t="s">
        <v>168</v>
      </c>
      <c r="F59" s="20"/>
    </row>
    <row r="60" spans="1:6" x14ac:dyDescent="0.25">
      <c r="A60" s="12" t="s">
        <v>36</v>
      </c>
      <c r="B60" s="13" t="s">
        <v>78</v>
      </c>
      <c r="C60" s="13" t="s">
        <v>45</v>
      </c>
      <c r="D60" s="13">
        <v>62</v>
      </c>
      <c r="E60" s="13" t="s">
        <v>103</v>
      </c>
      <c r="F60" s="13" t="s">
        <v>191</v>
      </c>
    </row>
    <row r="61" spans="1:6" x14ac:dyDescent="0.25">
      <c r="A61" s="12" t="s">
        <v>192</v>
      </c>
      <c r="B61" s="13" t="s">
        <v>78</v>
      </c>
      <c r="C61" s="13" t="s">
        <v>141</v>
      </c>
      <c r="D61" s="13">
        <v>63</v>
      </c>
      <c r="E61" s="13">
        <v>43.10389</v>
      </c>
      <c r="F61" s="13" t="s">
        <v>193</v>
      </c>
    </row>
    <row r="62" spans="1:6" x14ac:dyDescent="0.25">
      <c r="A62" s="12" t="s">
        <v>194</v>
      </c>
      <c r="B62" s="13" t="s">
        <v>78</v>
      </c>
      <c r="C62" s="13" t="s">
        <v>141</v>
      </c>
      <c r="D62" s="13">
        <v>64</v>
      </c>
      <c r="E62" s="13">
        <v>2.2456200000000002</v>
      </c>
      <c r="F62" s="13" t="s">
        <v>195</v>
      </c>
    </row>
    <row r="63" spans="1:6" x14ac:dyDescent="0.25">
      <c r="A63" s="17" t="s">
        <v>196</v>
      </c>
      <c r="B63" s="18" t="s">
        <v>78</v>
      </c>
      <c r="C63" s="18" t="s">
        <v>20</v>
      </c>
      <c r="D63" s="18" t="s">
        <v>197</v>
      </c>
      <c r="E63" s="18">
        <v>1</v>
      </c>
      <c r="F63" s="18" t="s">
        <v>198</v>
      </c>
    </row>
    <row r="64" spans="1:6" x14ac:dyDescent="0.25">
      <c r="A64" s="12" t="s">
        <v>199</v>
      </c>
      <c r="B64" s="13" t="s">
        <v>78</v>
      </c>
      <c r="C64" s="13" t="s">
        <v>45</v>
      </c>
      <c r="D64" s="13">
        <v>66</v>
      </c>
      <c r="E64" s="13" t="s">
        <v>200</v>
      </c>
      <c r="F64" s="13" t="s">
        <v>201</v>
      </c>
    </row>
    <row r="65" spans="1:6" x14ac:dyDescent="0.25">
      <c r="A65" s="12" t="s">
        <v>202</v>
      </c>
      <c r="B65" s="13" t="s">
        <v>78</v>
      </c>
      <c r="C65" s="13" t="s">
        <v>20</v>
      </c>
      <c r="D65" s="13" t="s">
        <v>203</v>
      </c>
      <c r="E65" s="13">
        <v>2201</v>
      </c>
      <c r="F65" s="13" t="s">
        <v>204</v>
      </c>
    </row>
    <row r="66" spans="1:6" x14ac:dyDescent="0.25">
      <c r="A66" s="12" t="s">
        <v>205</v>
      </c>
      <c r="B66" s="13" t="s">
        <v>78</v>
      </c>
      <c r="C66" s="13" t="s">
        <v>45</v>
      </c>
      <c r="D66" s="10">
        <v>20</v>
      </c>
      <c r="E66" s="13" t="s">
        <v>206</v>
      </c>
      <c r="F66" s="13" t="s">
        <v>207</v>
      </c>
    </row>
    <row r="67" spans="1:6" x14ac:dyDescent="0.25">
      <c r="A67" s="17" t="s">
        <v>22</v>
      </c>
      <c r="B67" s="18" t="s">
        <v>78</v>
      </c>
      <c r="C67" s="18" t="s">
        <v>45</v>
      </c>
      <c r="D67" s="18">
        <v>20</v>
      </c>
      <c r="E67" s="18" t="s">
        <v>208</v>
      </c>
      <c r="F67" s="18" t="s">
        <v>209</v>
      </c>
    </row>
    <row r="68" spans="1:6" x14ac:dyDescent="0.25">
      <c r="E68" s="1"/>
    </row>
    <row r="69" spans="1:6" x14ac:dyDescent="0.25">
      <c r="E69" s="1"/>
    </row>
    <row r="70" spans="1:6" x14ac:dyDescent="0.25">
      <c r="E70" s="1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&amp;C&amp;"Calibri"&amp;12&amp;A</oddHeader>
    <oddFooter>&amp;C&amp;"Calibri"&amp;12Page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C10"/>
  <sheetViews>
    <sheetView zoomScaleNormal="100" workbookViewId="0">
      <selection sqref="A1:F10"/>
    </sheetView>
  </sheetViews>
  <sheetFormatPr baseColWidth="10" defaultColWidth="10.85546875" defaultRowHeight="15" x14ac:dyDescent="0.25"/>
  <cols>
    <col min="1" max="1" width="19.7109375" customWidth="1"/>
    <col min="2" max="2" width="19.85546875" customWidth="1"/>
    <col min="3" max="3" width="19.7109375" customWidth="1"/>
    <col min="4" max="4" width="39.140625" customWidth="1"/>
    <col min="5" max="5" width="37.42578125" style="1" customWidth="1"/>
    <col min="6" max="6" width="15.7109375" style="1" customWidth="1"/>
    <col min="16384" max="16384" width="11.7109375" style="1" customWidth="1"/>
  </cols>
  <sheetData>
    <row r="1" spans="1:6" x14ac:dyDescent="0.25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</row>
    <row r="2" spans="1:6" x14ac:dyDescent="0.25">
      <c r="A2" s="20" t="s">
        <v>210</v>
      </c>
      <c r="B2" s="20" t="s">
        <v>211</v>
      </c>
      <c r="C2" s="20" t="s">
        <v>212</v>
      </c>
      <c r="D2" s="20">
        <v>10</v>
      </c>
      <c r="E2" s="20" t="s">
        <v>213</v>
      </c>
      <c r="F2" s="21"/>
    </row>
    <row r="3" spans="1:6" x14ac:dyDescent="0.25">
      <c r="A3" s="20" t="s">
        <v>214</v>
      </c>
      <c r="B3" s="20" t="s">
        <v>211</v>
      </c>
      <c r="C3" s="20" t="s">
        <v>212</v>
      </c>
      <c r="D3" s="20">
        <v>20</v>
      </c>
      <c r="E3" s="20" t="s">
        <v>215</v>
      </c>
      <c r="F3" s="21"/>
    </row>
    <row r="4" spans="1:6" x14ac:dyDescent="0.25">
      <c r="A4" s="1" t="s">
        <v>216</v>
      </c>
      <c r="B4" s="1" t="s">
        <v>211</v>
      </c>
      <c r="C4" s="1" t="s">
        <v>20</v>
      </c>
      <c r="D4" s="1">
        <v>20</v>
      </c>
      <c r="E4" s="1" t="s">
        <v>217</v>
      </c>
      <c r="F4" s="21"/>
    </row>
    <row r="5" spans="1:6" x14ac:dyDescent="0.25">
      <c r="A5" s="20" t="s">
        <v>218</v>
      </c>
      <c r="B5" s="20" t="s">
        <v>211</v>
      </c>
      <c r="C5" s="20" t="s">
        <v>212</v>
      </c>
      <c r="D5" s="20">
        <v>20</v>
      </c>
      <c r="E5" s="20" t="s">
        <v>219</v>
      </c>
      <c r="F5" s="21"/>
    </row>
    <row r="6" spans="1:6" x14ac:dyDescent="0.25">
      <c r="A6" s="8" t="s">
        <v>220</v>
      </c>
      <c r="B6" s="8" t="s">
        <v>211</v>
      </c>
      <c r="C6" s="8" t="s">
        <v>221</v>
      </c>
      <c r="D6" s="8">
        <v>20</v>
      </c>
      <c r="E6" s="8" t="s">
        <v>222</v>
      </c>
      <c r="F6" s="21"/>
    </row>
    <row r="7" spans="1:6" x14ac:dyDescent="0.25">
      <c r="A7" s="20" t="s">
        <v>223</v>
      </c>
      <c r="B7" s="20" t="s">
        <v>211</v>
      </c>
      <c r="C7" s="20" t="s">
        <v>11</v>
      </c>
      <c r="D7" s="20">
        <v>20</v>
      </c>
      <c r="E7" s="20" t="s">
        <v>224</v>
      </c>
      <c r="F7" s="21"/>
    </row>
    <row r="8" spans="1:6" x14ac:dyDescent="0.25">
      <c r="A8" s="1" t="s">
        <v>82</v>
      </c>
      <c r="B8" s="1" t="s">
        <v>211</v>
      </c>
      <c r="C8" s="1" t="s">
        <v>225</v>
      </c>
      <c r="D8" s="1">
        <v>20</v>
      </c>
      <c r="E8" s="1" t="s">
        <v>226</v>
      </c>
      <c r="F8" s="21"/>
    </row>
    <row r="9" spans="1:6" x14ac:dyDescent="0.25">
      <c r="A9" s="1" t="s">
        <v>9</v>
      </c>
      <c r="B9" s="1" t="s">
        <v>211</v>
      </c>
      <c r="C9" s="1" t="s">
        <v>225</v>
      </c>
      <c r="D9" s="1">
        <v>20</v>
      </c>
      <c r="E9" s="1" t="s">
        <v>226</v>
      </c>
      <c r="F9" s="21"/>
    </row>
    <row r="10" spans="1:6" x14ac:dyDescent="0.25">
      <c r="A10" s="1" t="s">
        <v>40</v>
      </c>
      <c r="B10" s="1" t="s">
        <v>211</v>
      </c>
      <c r="C10" s="1" t="s">
        <v>41</v>
      </c>
      <c r="D10" s="1">
        <v>20</v>
      </c>
      <c r="E10" s="1" t="s">
        <v>227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zoomScaleNormal="100" workbookViewId="0">
      <selection sqref="A1:E4"/>
    </sheetView>
  </sheetViews>
  <sheetFormatPr baseColWidth="10" defaultColWidth="10.85546875" defaultRowHeight="15" x14ac:dyDescent="0.25"/>
  <cols>
    <col min="2" max="2" width="33.5703125" style="1" customWidth="1"/>
    <col min="5" max="5" width="25.42578125" style="1" customWidth="1"/>
  </cols>
  <sheetData>
    <row r="1" spans="1:5" x14ac:dyDescent="0.25">
      <c r="A1" s="54" t="s">
        <v>228</v>
      </c>
      <c r="B1" s="55" t="s">
        <v>229</v>
      </c>
      <c r="C1" s="56" t="s">
        <v>230</v>
      </c>
      <c r="D1" s="57" t="s">
        <v>231</v>
      </c>
      <c r="E1" s="58" t="s">
        <v>232</v>
      </c>
    </row>
    <row r="2" spans="1:5" x14ac:dyDescent="0.25">
      <c r="A2" s="52" t="s">
        <v>233</v>
      </c>
      <c r="B2" s="22" t="s">
        <v>234</v>
      </c>
      <c r="C2" s="23" t="s">
        <v>235</v>
      </c>
      <c r="D2" s="24" t="s">
        <v>236</v>
      </c>
      <c r="E2" s="53">
        <v>46100</v>
      </c>
    </row>
    <row r="3" spans="1:5" ht="30" x14ac:dyDescent="0.25">
      <c r="A3" s="52" t="s">
        <v>237</v>
      </c>
      <c r="B3" s="25" t="s">
        <v>238</v>
      </c>
      <c r="C3" s="23" t="s">
        <v>235</v>
      </c>
      <c r="D3" s="24" t="s">
        <v>239</v>
      </c>
      <c r="E3" s="53">
        <v>46101</v>
      </c>
    </row>
    <row r="4" spans="1:5" ht="30" x14ac:dyDescent="0.25">
      <c r="A4" s="59" t="s">
        <v>240</v>
      </c>
      <c r="B4" s="60" t="s">
        <v>241</v>
      </c>
      <c r="C4" s="61" t="s">
        <v>235</v>
      </c>
      <c r="D4" s="62" t="s">
        <v>242</v>
      </c>
      <c r="E4" s="63">
        <v>46088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8"/>
  <sheetViews>
    <sheetView zoomScaleNormal="100" workbookViewId="0">
      <selection activeCell="G12" sqref="G12"/>
    </sheetView>
  </sheetViews>
  <sheetFormatPr baseColWidth="10" defaultColWidth="10.85546875" defaultRowHeight="15" x14ac:dyDescent="0.25"/>
  <cols>
    <col min="1" max="1" width="15.28515625" style="1" customWidth="1"/>
    <col min="2" max="2" width="21.7109375" style="1" customWidth="1"/>
    <col min="3" max="3" width="22.7109375" style="1" customWidth="1"/>
    <col min="4" max="4" width="18" style="1" customWidth="1"/>
    <col min="6" max="6" width="15.28515625" customWidth="1"/>
  </cols>
  <sheetData>
    <row r="1" spans="1:12" ht="12.75" x14ac:dyDescent="0.2">
      <c r="A1" s="26"/>
      <c r="B1" s="27" t="s">
        <v>243</v>
      </c>
      <c r="C1" s="27" t="s">
        <v>244</v>
      </c>
      <c r="D1" s="27" t="s">
        <v>245</v>
      </c>
      <c r="E1" s="28" t="s">
        <v>246</v>
      </c>
      <c r="F1" s="28" t="s">
        <v>247</v>
      </c>
    </row>
    <row r="2" spans="1:12" ht="15" customHeight="1" x14ac:dyDescent="0.2">
      <c r="A2" s="65" t="s">
        <v>248</v>
      </c>
      <c r="B2" s="65"/>
      <c r="C2" s="65"/>
      <c r="D2" s="65"/>
      <c r="E2" s="45"/>
      <c r="F2" s="29"/>
      <c r="H2" t="s">
        <v>249</v>
      </c>
      <c r="I2" t="s">
        <v>250</v>
      </c>
    </row>
    <row r="3" spans="1:12" ht="12.75" x14ac:dyDescent="0.2">
      <c r="A3" s="30" t="s">
        <v>251</v>
      </c>
      <c r="B3" s="31">
        <v>151791</v>
      </c>
      <c r="C3" s="31">
        <v>334325</v>
      </c>
      <c r="D3" s="31">
        <v>573113</v>
      </c>
      <c r="E3" s="31">
        <v>69082000</v>
      </c>
      <c r="F3" s="31">
        <v>547557</v>
      </c>
      <c r="H3" t="s">
        <v>252</v>
      </c>
      <c r="I3" t="s">
        <v>253</v>
      </c>
    </row>
    <row r="4" spans="1:12" ht="15" customHeight="1" x14ac:dyDescent="0.2">
      <c r="A4" s="64" t="s">
        <v>254</v>
      </c>
      <c r="B4" s="64"/>
      <c r="C4" s="64"/>
      <c r="D4" s="64"/>
      <c r="E4" s="46"/>
      <c r="F4" s="29"/>
      <c r="H4" t="s">
        <v>255</v>
      </c>
      <c r="I4" t="s">
        <v>256</v>
      </c>
    </row>
    <row r="5" spans="1:12" x14ac:dyDescent="0.25">
      <c r="A5" s="32" t="s">
        <v>257</v>
      </c>
      <c r="B5" s="1">
        <v>3559</v>
      </c>
      <c r="C5" s="33">
        <v>185</v>
      </c>
      <c r="D5" s="34" t="s">
        <v>258</v>
      </c>
      <c r="E5" s="1">
        <v>2615635</v>
      </c>
      <c r="F5" s="1">
        <v>5742.8</v>
      </c>
    </row>
    <row r="6" spans="1:12" x14ac:dyDescent="0.2">
      <c r="A6" s="32" t="s">
        <v>259</v>
      </c>
      <c r="B6" s="35">
        <v>212</v>
      </c>
      <c r="C6" s="35">
        <v>0</v>
      </c>
      <c r="D6" s="36" t="s">
        <v>258</v>
      </c>
      <c r="E6" s="37">
        <v>1457905</v>
      </c>
      <c r="F6" s="37">
        <v>6671.4</v>
      </c>
    </row>
    <row r="7" spans="1:12" x14ac:dyDescent="0.25">
      <c r="A7" s="32" t="s">
        <v>260</v>
      </c>
      <c r="B7" s="33">
        <v>19</v>
      </c>
      <c r="C7" s="33">
        <v>0</v>
      </c>
      <c r="D7" s="34" t="s">
        <v>258</v>
      </c>
      <c r="E7" s="1">
        <v>565540</v>
      </c>
      <c r="F7" s="1">
        <v>6170.1</v>
      </c>
    </row>
    <row r="8" spans="1:12" x14ac:dyDescent="0.2">
      <c r="A8" s="32" t="s">
        <v>261</v>
      </c>
      <c r="B8" s="37">
        <v>8</v>
      </c>
      <c r="C8" s="37">
        <v>0</v>
      </c>
      <c r="D8" s="38" t="s">
        <v>258</v>
      </c>
      <c r="E8" s="37">
        <v>829899</v>
      </c>
      <c r="F8" s="37">
        <v>5860.2</v>
      </c>
    </row>
    <row r="9" spans="1:12" x14ac:dyDescent="0.25">
      <c r="A9" s="32" t="s">
        <v>262</v>
      </c>
      <c r="B9" s="33">
        <v>10</v>
      </c>
      <c r="C9" s="33">
        <v>0</v>
      </c>
      <c r="D9" s="34" t="s">
        <v>258</v>
      </c>
      <c r="E9" s="1">
        <v>523342</v>
      </c>
      <c r="F9" s="1">
        <v>7361.7</v>
      </c>
    </row>
    <row r="10" spans="1:12" ht="25.5" x14ac:dyDescent="0.2">
      <c r="A10" s="30" t="s">
        <v>263</v>
      </c>
      <c r="B10" s="31">
        <f>SUM(B5:B9)</f>
        <v>3808</v>
      </c>
      <c r="C10" s="31">
        <f>SUM(C4:C9)</f>
        <v>185</v>
      </c>
      <c r="D10" s="34" t="s">
        <v>258</v>
      </c>
      <c r="E10" s="31">
        <f>SUM(E4:E9)</f>
        <v>5992321</v>
      </c>
      <c r="F10" s="31">
        <f>SUM(F4:F9)</f>
        <v>31806.200000000004</v>
      </c>
    </row>
    <row r="11" spans="1:12" ht="15" customHeight="1" x14ac:dyDescent="0.2">
      <c r="A11" s="64" t="s">
        <v>264</v>
      </c>
      <c r="B11" s="64"/>
      <c r="C11" s="64"/>
      <c r="D11" s="64"/>
      <c r="E11" s="46"/>
      <c r="F11" s="39"/>
    </row>
    <row r="12" spans="1:12" x14ac:dyDescent="0.2">
      <c r="A12" s="32" t="s">
        <v>265</v>
      </c>
      <c r="B12" s="35">
        <v>150</v>
      </c>
      <c r="C12" s="35">
        <v>415</v>
      </c>
      <c r="D12" s="38" t="s">
        <v>258</v>
      </c>
      <c r="E12" s="35">
        <v>238246</v>
      </c>
      <c r="F12" s="35">
        <v>34.83</v>
      </c>
    </row>
    <row r="13" spans="1:12" x14ac:dyDescent="0.25">
      <c r="A13" s="32" t="s">
        <v>266</v>
      </c>
      <c r="B13" s="33">
        <v>55</v>
      </c>
      <c r="C13" s="40">
        <v>117</v>
      </c>
      <c r="D13" s="41" t="s">
        <v>258</v>
      </c>
      <c r="E13" s="1">
        <v>98772</v>
      </c>
      <c r="F13" s="1">
        <v>15.19</v>
      </c>
    </row>
    <row r="14" spans="1:12" x14ac:dyDescent="0.2">
      <c r="A14" s="32" t="s">
        <v>267</v>
      </c>
      <c r="B14" s="35">
        <v>69</v>
      </c>
      <c r="C14" s="37">
        <v>185</v>
      </c>
      <c r="D14" s="38" t="s">
        <v>258</v>
      </c>
      <c r="E14" s="37">
        <v>98286</v>
      </c>
      <c r="F14" s="37">
        <v>13.23</v>
      </c>
    </row>
    <row r="15" spans="1:12" x14ac:dyDescent="0.25">
      <c r="A15" s="32" t="s">
        <v>268</v>
      </c>
      <c r="B15" s="33">
        <v>97</v>
      </c>
      <c r="C15" s="40">
        <v>227</v>
      </c>
      <c r="D15" s="34" t="s">
        <v>258</v>
      </c>
      <c r="E15" s="1">
        <v>86263</v>
      </c>
      <c r="F15" s="1">
        <v>37.340000000000003</v>
      </c>
      <c r="K15" t="s">
        <v>269</v>
      </c>
      <c r="L15" t="s">
        <v>270</v>
      </c>
    </row>
    <row r="16" spans="1:12" x14ac:dyDescent="0.2">
      <c r="A16" s="32" t="s">
        <v>271</v>
      </c>
      <c r="B16" s="35">
        <v>80</v>
      </c>
      <c r="C16" s="37">
        <v>275</v>
      </c>
      <c r="D16" s="38" t="s">
        <v>258</v>
      </c>
      <c r="E16" s="35">
        <v>62868</v>
      </c>
      <c r="F16" s="35">
        <v>27.46</v>
      </c>
      <c r="K16" t="s">
        <v>272</v>
      </c>
    </row>
    <row r="17" spans="1:6" x14ac:dyDescent="0.25">
      <c r="A17" s="32" t="s">
        <v>273</v>
      </c>
      <c r="B17" s="33">
        <v>10</v>
      </c>
      <c r="C17" s="33">
        <v>41</v>
      </c>
      <c r="D17" s="42" t="s">
        <v>258</v>
      </c>
      <c r="E17" s="1">
        <v>8754</v>
      </c>
      <c r="F17" s="1">
        <v>8.41</v>
      </c>
    </row>
    <row r="18" spans="1:6" ht="25.5" x14ac:dyDescent="0.2">
      <c r="A18" s="30" t="s">
        <v>274</v>
      </c>
      <c r="B18" s="31">
        <f>SUM(B12:B17)</f>
        <v>461</v>
      </c>
      <c r="C18" s="31">
        <f>SUM(C12:C17)</f>
        <v>1260</v>
      </c>
      <c r="D18" s="43" t="s">
        <v>258</v>
      </c>
      <c r="E18" s="44"/>
      <c r="F18" s="44"/>
    </row>
  </sheetData>
  <mergeCells count="3">
    <mergeCell ref="A2:E2"/>
    <mergeCell ref="A4:E4"/>
    <mergeCell ref="A11:E1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Normal="100" workbookViewId="0"/>
  </sheetViews>
  <sheetFormatPr baseColWidth="10" defaultColWidth="10.85546875" defaultRowHeight="12.75" x14ac:dyDescent="0.2"/>
  <sheetData>
    <row r="1" spans="1:1" ht="15" x14ac:dyDescent="0.25">
      <c r="A1" s="1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tabSelected="1" zoomScaleNormal="100" workbookViewId="0">
      <selection activeCell="A5" sqref="A5"/>
    </sheetView>
  </sheetViews>
  <sheetFormatPr baseColWidth="10" defaultColWidth="10.85546875" defaultRowHeight="12.75" x14ac:dyDescent="0.2"/>
  <sheetData>
    <row r="1" spans="1:1" x14ac:dyDescent="0.2">
      <c r="A1" t="s">
        <v>275</v>
      </c>
    </row>
    <row r="2" spans="1:1" x14ac:dyDescent="0.2">
      <c r="A2" t="s">
        <v>276</v>
      </c>
    </row>
    <row r="4" spans="1:1" x14ac:dyDescent="0.2">
      <c r="A4" t="s">
        <v>277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Installations</vt:lpstr>
      <vt:lpstr>Equipement</vt:lpstr>
      <vt:lpstr>Activités</vt:lpstr>
      <vt:lpstr> RSE</vt:lpstr>
      <vt:lpstr>Chiffres</vt:lpstr>
      <vt:lpstr>Schémas</vt:lpstr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Merveille Delali Amenti</dc:creator>
  <dc:description/>
  <cp:lastModifiedBy>wolf fenrir and gazelle</cp:lastModifiedBy>
  <cp:revision>7</cp:revision>
  <cp:lastPrinted>2025-09-30T17:56:35Z</cp:lastPrinted>
  <dcterms:created xsi:type="dcterms:W3CDTF">2025-09-30T17:44:32Z</dcterms:created>
  <dcterms:modified xsi:type="dcterms:W3CDTF">2026-06-07T12:24:53Z</dcterms:modified>
  <dc:language>fr-FR</dc:language>
</cp:coreProperties>
</file>